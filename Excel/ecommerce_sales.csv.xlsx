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ninp\Downloads\Data Analyst Portfolio\Project 02 - E-commerce Sales Analysis\02_Excel\"/>
    </mc:Choice>
  </mc:AlternateContent>
  <xr:revisionPtr revIDLastSave="0" documentId="13_ncr:1_{F4A83DC7-5212-43FD-990A-08AB3B5D6A29}" xr6:coauthVersionLast="47" xr6:coauthVersionMax="47" xr10:uidLastSave="{00000000-0000-0000-0000-000000000000}"/>
  <bookViews>
    <workbookView xWindow="-110" yWindow="-110" windowWidth="19420" windowHeight="11500" xr2:uid="{7163D994-CBD4-40C8-92F3-7200A74DF0E4}"/>
  </bookViews>
  <sheets>
    <sheet name="ecommerce_sales" sheetId="1" r:id="rId1"/>
    <sheet name="KPI " sheetId="22" r:id="rId2"/>
    <sheet name="Dashboard" sheetId="21" r:id="rId3"/>
    <sheet name="Average Revenue by Discount" sheetId="13" r:id="rId4"/>
    <sheet name="Monthly Revenue" sheetId="14" r:id="rId5"/>
    <sheet name="Monthly Order Volume" sheetId="15" r:id="rId6"/>
    <sheet name="Average Revenue By Month" sheetId="16" r:id="rId7"/>
    <sheet name="Revenue By City" sheetId="17" r:id="rId8"/>
    <sheet name="Order Count by City" sheetId="18" r:id="rId9"/>
    <sheet name="Average Revenue By City" sheetId="19" r:id="rId10"/>
    <sheet name="Two Dimensions" sheetId="20" r:id="rId11"/>
    <sheet name="Total Revenue by Category" sheetId="2" r:id="rId12"/>
    <sheet name="Orders by Category" sheetId="4" r:id="rId13"/>
    <sheet name="Average Revenue By Category" sheetId="5" r:id="rId14"/>
    <sheet name="Customer Behavior" sheetId="6" r:id="rId15"/>
    <sheet name="Order Count By Customer" sheetId="7" r:id="rId16"/>
    <sheet name="Average Revenue By Customer" sheetId="8" r:id="rId17"/>
    <sheet name="Revenue By Sales Channel" sheetId="9" r:id="rId18"/>
    <sheet name="Orders by Sales Channel" sheetId="10" r:id="rId19"/>
    <sheet name="Average Revenue By Sales Channe" sheetId="11" r:id="rId20"/>
    <sheet name="Order Count By Discount" sheetId="12" r:id="rId21"/>
  </sheets>
  <calcPr calcId="191029"/>
  <pivotCaches>
    <pivotCache cacheId="0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2" l="1"/>
  <c r="C8" i="22"/>
  <c r="C7" i="22"/>
  <c r="C6" i="22"/>
  <c r="C5" i="22"/>
  <c r="C4" i="22"/>
  <c r="C3" i="22"/>
  <c r="I13" i="13"/>
</calcChain>
</file>

<file path=xl/sharedStrings.xml><?xml version="1.0" encoding="utf-8"?>
<sst xmlns="http://schemas.openxmlformats.org/spreadsheetml/2006/main" count="5811" uniqueCount="1294">
  <si>
    <t>Order_ID</t>
  </si>
  <si>
    <t>Customer_ID</t>
  </si>
  <si>
    <t>Order_Date</t>
  </si>
  <si>
    <t>Product</t>
  </si>
  <si>
    <t>Category</t>
  </si>
  <si>
    <t>Customer_Type</t>
  </si>
  <si>
    <t>Sales_Channel</t>
  </si>
  <si>
    <t>Quantity</t>
  </si>
  <si>
    <t>Unit_Price</t>
  </si>
  <si>
    <t>Discount</t>
  </si>
  <si>
    <t>Revenue</t>
  </si>
  <si>
    <t>Customer_City</t>
  </si>
  <si>
    <t>ORD0001</t>
  </si>
  <si>
    <t>C0292</t>
  </si>
  <si>
    <t>Coffee Maker</t>
  </si>
  <si>
    <t>Home &amp; Kitchen</t>
  </si>
  <si>
    <t>New</t>
  </si>
  <si>
    <t>Online</t>
  </si>
  <si>
    <t>Kamakura</t>
  </si>
  <si>
    <t>ORD0002</t>
  </si>
  <si>
    <t>C0274</t>
  </si>
  <si>
    <t>Jeans</t>
  </si>
  <si>
    <t>Clothing</t>
  </si>
  <si>
    <t>Marketplace</t>
  </si>
  <si>
    <t>Utsunomiya</t>
  </si>
  <si>
    <t>ORD0003</t>
  </si>
  <si>
    <t>C0288</t>
  </si>
  <si>
    <t>Wireless Mouse</t>
  </si>
  <si>
    <t>Electronics</t>
  </si>
  <si>
    <t>Mobile App</t>
  </si>
  <si>
    <t>Mito</t>
  </si>
  <si>
    <t>ORD0004</t>
  </si>
  <si>
    <t>C0118</t>
  </si>
  <si>
    <t>Wireless Headphones</t>
  </si>
  <si>
    <t>Returning</t>
  </si>
  <si>
    <t>Tsukuba</t>
  </si>
  <si>
    <t>ORD0005</t>
  </si>
  <si>
    <t>C0082</t>
  </si>
  <si>
    <t>Funabashi</t>
  </si>
  <si>
    <t>ORD0006</t>
  </si>
  <si>
    <t>C0068</t>
  </si>
  <si>
    <t>Table Lamp</t>
  </si>
  <si>
    <t>ORD0007</t>
  </si>
  <si>
    <t>C0310</t>
  </si>
  <si>
    <t>ORD0008</t>
  </si>
  <si>
    <t>C0076</t>
  </si>
  <si>
    <t>Running Shoes</t>
  </si>
  <si>
    <t>Sports</t>
  </si>
  <si>
    <t>ORD0009</t>
  </si>
  <si>
    <t>C0234</t>
  </si>
  <si>
    <t>Bluetooth Speaker</t>
  </si>
  <si>
    <t>ORD0010</t>
  </si>
  <si>
    <t>C0175</t>
  </si>
  <si>
    <t>Beauty Mirror</t>
  </si>
  <si>
    <t>Beauty</t>
  </si>
  <si>
    <t>ORD0011</t>
  </si>
  <si>
    <t>C0356</t>
  </si>
  <si>
    <t>Body Lotion</t>
  </si>
  <si>
    <t>ORD0012</t>
  </si>
  <si>
    <t>C0348</t>
  </si>
  <si>
    <t>Smart Watch</t>
  </si>
  <si>
    <t>Chiba</t>
  </si>
  <si>
    <t>ORD0013</t>
  </si>
  <si>
    <t>C0150</t>
  </si>
  <si>
    <t>Saitama</t>
  </si>
  <si>
    <t>ORD0014</t>
  </si>
  <si>
    <t>C0419</t>
  </si>
  <si>
    <t>Facial Cleanser</t>
  </si>
  <si>
    <t>Kawasaki</t>
  </si>
  <si>
    <t>ORD0015</t>
  </si>
  <si>
    <t>C0486</t>
  </si>
  <si>
    <t>Sports Bag</t>
  </si>
  <si>
    <t>Kashiwa</t>
  </si>
  <si>
    <t>ORD0016</t>
  </si>
  <si>
    <t>C0405</t>
  </si>
  <si>
    <t>ORD0017</t>
  </si>
  <si>
    <t>C0159</t>
  </si>
  <si>
    <t>Skincare Set</t>
  </si>
  <si>
    <t>ORD0018</t>
  </si>
  <si>
    <t>C0048</t>
  </si>
  <si>
    <t>ORD0019</t>
  </si>
  <si>
    <t>C0095</t>
  </si>
  <si>
    <t>ORD0020</t>
  </si>
  <si>
    <t>C0328</t>
  </si>
  <si>
    <t>Sneakers</t>
  </si>
  <si>
    <t>Kawagoe</t>
  </si>
  <si>
    <t>ORD0021</t>
  </si>
  <si>
    <t>C0169</t>
  </si>
  <si>
    <t>Electric Kettle</t>
  </si>
  <si>
    <t>ORD0022</t>
  </si>
  <si>
    <t>C0031</t>
  </si>
  <si>
    <t>Jacket</t>
  </si>
  <si>
    <t>ORD0023</t>
  </si>
  <si>
    <t>C0050</t>
  </si>
  <si>
    <t>ORD0024</t>
  </si>
  <si>
    <t>C0479</t>
  </si>
  <si>
    <t>T-Shirt</t>
  </si>
  <si>
    <t>Maebashi</t>
  </si>
  <si>
    <t>ORD0025</t>
  </si>
  <si>
    <t>C0282</t>
  </si>
  <si>
    <t>USB-C Hub</t>
  </si>
  <si>
    <t>ORD0026</t>
  </si>
  <si>
    <t>C0430</t>
  </si>
  <si>
    <t>Yoga Mat</t>
  </si>
  <si>
    <t>ORD0027</t>
  </si>
  <si>
    <t>C0407</t>
  </si>
  <si>
    <t>ORD0028</t>
  </si>
  <si>
    <t>C0496</t>
  </si>
  <si>
    <t>ORD0029</t>
  </si>
  <si>
    <t>C0185</t>
  </si>
  <si>
    <t>ORD0030</t>
  </si>
  <si>
    <t>C0316</t>
  </si>
  <si>
    <t>Storage Box Set</t>
  </si>
  <si>
    <t>Hachioji</t>
  </si>
  <si>
    <t>ORD0031</t>
  </si>
  <si>
    <t>Hair Dryer</t>
  </si>
  <si>
    <t>ORD0032</t>
  </si>
  <si>
    <t>C0262</t>
  </si>
  <si>
    <t>Fitness Band</t>
  </si>
  <si>
    <t>ORD0033</t>
  </si>
  <si>
    <t>C0221</t>
  </si>
  <si>
    <t>ORD0034</t>
  </si>
  <si>
    <t>C0268</t>
  </si>
  <si>
    <t>Tokyo</t>
  </si>
  <si>
    <t>ORD0035</t>
  </si>
  <si>
    <t>C0263</t>
  </si>
  <si>
    <t>ORD0036</t>
  </si>
  <si>
    <t>C0002</t>
  </si>
  <si>
    <t>ORD0037</t>
  </si>
  <si>
    <t>C0448</t>
  </si>
  <si>
    <t>Hoodie</t>
  </si>
  <si>
    <t>ORD0038</t>
  </si>
  <si>
    <t>C0391</t>
  </si>
  <si>
    <t>ORD0039</t>
  </si>
  <si>
    <t>C0036</t>
  </si>
  <si>
    <t>Takasaki</t>
  </si>
  <si>
    <t>ORD0040</t>
  </si>
  <si>
    <t>C0294</t>
  </si>
  <si>
    <t>ORD0041</t>
  </si>
  <si>
    <t>C0023</t>
  </si>
  <si>
    <t>ORD0042</t>
  </si>
  <si>
    <t>C0399</t>
  </si>
  <si>
    <t>Yokohama</t>
  </si>
  <si>
    <t>ORD0043</t>
  </si>
  <si>
    <t>C0347</t>
  </si>
  <si>
    <t>ORD0044</t>
  </si>
  <si>
    <t>C0199</t>
  </si>
  <si>
    <t>ORD0045</t>
  </si>
  <si>
    <t>C0045</t>
  </si>
  <si>
    <t>ORD0046</t>
  </si>
  <si>
    <t>C0205</t>
  </si>
  <si>
    <t>ORD0047</t>
  </si>
  <si>
    <t>C0428</t>
  </si>
  <si>
    <t>ORD0048</t>
  </si>
  <si>
    <t>C0277</t>
  </si>
  <si>
    <t>ORD0049</t>
  </si>
  <si>
    <t>C0393</t>
  </si>
  <si>
    <t>ORD0050</t>
  </si>
  <si>
    <t>C0264</t>
  </si>
  <si>
    <t>ORD0051</t>
  </si>
  <si>
    <t>C0439</t>
  </si>
  <si>
    <t>ORD0052</t>
  </si>
  <si>
    <t>C0452</t>
  </si>
  <si>
    <t>ORD0053</t>
  </si>
  <si>
    <t>C0238</t>
  </si>
  <si>
    <t>ORD0054</t>
  </si>
  <si>
    <t>C0117</t>
  </si>
  <si>
    <t>ORD0055</t>
  </si>
  <si>
    <t>C0026</t>
  </si>
  <si>
    <t>ORD0056</t>
  </si>
  <si>
    <t>ORD0057</t>
  </si>
  <si>
    <t>C0284</t>
  </si>
  <si>
    <t>ORD0058</t>
  </si>
  <si>
    <t>C0447</t>
  </si>
  <si>
    <t>ORD0059</t>
  </si>
  <si>
    <t>ORD0060</t>
  </si>
  <si>
    <t>C0410</t>
  </si>
  <si>
    <t>ORD0061</t>
  </si>
  <si>
    <t>C0305</t>
  </si>
  <si>
    <t>ORD0062</t>
  </si>
  <si>
    <t>C0154</t>
  </si>
  <si>
    <t>ORD0063</t>
  </si>
  <si>
    <t>C0186</t>
  </si>
  <si>
    <t>Air Fryer</t>
  </si>
  <si>
    <t>ORD0064</t>
  </si>
  <si>
    <t>C0287</t>
  </si>
  <si>
    <t>ORD0065</t>
  </si>
  <si>
    <t>ORD0066</t>
  </si>
  <si>
    <t>C0451</t>
  </si>
  <si>
    <t>ORD0067</t>
  </si>
  <si>
    <t>C0180</t>
  </si>
  <si>
    <t>ORD0068</t>
  </si>
  <si>
    <t>ORD0069</t>
  </si>
  <si>
    <t>C0404</t>
  </si>
  <si>
    <t>ORD0070</t>
  </si>
  <si>
    <t>C0240</t>
  </si>
  <si>
    <t>ORD0071</t>
  </si>
  <si>
    <t>C0086</t>
  </si>
  <si>
    <t>ORD0072</t>
  </si>
  <si>
    <t>C0140</t>
  </si>
  <si>
    <t>ORD0073</t>
  </si>
  <si>
    <t>C0200</t>
  </si>
  <si>
    <t>ORD0074</t>
  </si>
  <si>
    <t>C0338</t>
  </si>
  <si>
    <t>ORD0075</t>
  </si>
  <si>
    <t>C0017</t>
  </si>
  <si>
    <t>ORD0076</t>
  </si>
  <si>
    <t>C0412</t>
  </si>
  <si>
    <t>ORD0077</t>
  </si>
  <si>
    <t>C0014</t>
  </si>
  <si>
    <t>ORD0078</t>
  </si>
  <si>
    <t>C0114</t>
  </si>
  <si>
    <t>ORD0079</t>
  </si>
  <si>
    <t>C0465</t>
  </si>
  <si>
    <t>ORD0080</t>
  </si>
  <si>
    <t>C0350</t>
  </si>
  <si>
    <t>ORD0081</t>
  </si>
  <si>
    <t>ORD0082</t>
  </si>
  <si>
    <t>C0166</t>
  </si>
  <si>
    <t>ORD0083</t>
  </si>
  <si>
    <t>C0028</t>
  </si>
  <si>
    <t>ORD0084</t>
  </si>
  <si>
    <t>C0156</t>
  </si>
  <si>
    <t>ORD0085</t>
  </si>
  <si>
    <t>C0422</t>
  </si>
  <si>
    <t>ORD0086</t>
  </si>
  <si>
    <t>C0361</t>
  </si>
  <si>
    <t>ORD0087</t>
  </si>
  <si>
    <t>C0096</t>
  </si>
  <si>
    <t>ORD0088</t>
  </si>
  <si>
    <t>C0406</t>
  </si>
  <si>
    <t>ORD0089</t>
  </si>
  <si>
    <t>C0255</t>
  </si>
  <si>
    <t>ORD0090</t>
  </si>
  <si>
    <t>ORD0091</t>
  </si>
  <si>
    <t>C0067</t>
  </si>
  <si>
    <t>ORD0092</t>
  </si>
  <si>
    <t>ORD0093</t>
  </si>
  <si>
    <t>C0477</t>
  </si>
  <si>
    <t>ORD0094</t>
  </si>
  <si>
    <t>ORD0095</t>
  </si>
  <si>
    <t>C0490</t>
  </si>
  <si>
    <t>ORD0096</t>
  </si>
  <si>
    <t>C0295</t>
  </si>
  <si>
    <t>ORD0097</t>
  </si>
  <si>
    <t>ORD0098</t>
  </si>
  <si>
    <t>ORD0099</t>
  </si>
  <si>
    <t>C0329</t>
  </si>
  <si>
    <t>ORD0100</t>
  </si>
  <si>
    <t>C0332</t>
  </si>
  <si>
    <t>ORD0101</t>
  </si>
  <si>
    <t>C0126</t>
  </si>
  <si>
    <t>ORD0102</t>
  </si>
  <si>
    <t>C0044</t>
  </si>
  <si>
    <t>ORD0103</t>
  </si>
  <si>
    <t>C0040</t>
  </si>
  <si>
    <t>ORD0104</t>
  </si>
  <si>
    <t>C0387</t>
  </si>
  <si>
    <t>ORD0105</t>
  </si>
  <si>
    <t>C0091</t>
  </si>
  <si>
    <t>ORD0106</t>
  </si>
  <si>
    <t>ORD0107</t>
  </si>
  <si>
    <t>ORD0108</t>
  </si>
  <si>
    <t>C0427</t>
  </si>
  <si>
    <t>ORD0109</t>
  </si>
  <si>
    <t>ORD0110</t>
  </si>
  <si>
    <t>ORD0111</t>
  </si>
  <si>
    <t>C0157</t>
  </si>
  <si>
    <t>ORD0112</t>
  </si>
  <si>
    <t>C0360</t>
  </si>
  <si>
    <t>ORD0113</t>
  </si>
  <si>
    <t>C0093</t>
  </si>
  <si>
    <t>ORD0114</t>
  </si>
  <si>
    <t>ORD0115</t>
  </si>
  <si>
    <t>C0326</t>
  </si>
  <si>
    <t>ORD0116</t>
  </si>
  <si>
    <t>C0289</t>
  </si>
  <si>
    <t>ORD0117</t>
  </si>
  <si>
    <t>ORD0118</t>
  </si>
  <si>
    <t>C0497</t>
  </si>
  <si>
    <t>ORD0119</t>
  </si>
  <si>
    <t>C0270</t>
  </si>
  <si>
    <t>ORD0120</t>
  </si>
  <si>
    <t>C0248</t>
  </si>
  <si>
    <t>ORD0121</t>
  </si>
  <si>
    <t>ORD0122</t>
  </si>
  <si>
    <t>C0475</t>
  </si>
  <si>
    <t>ORD0123</t>
  </si>
  <si>
    <t>C0334</t>
  </si>
  <si>
    <t>ORD0124</t>
  </si>
  <si>
    <t>C0318</t>
  </si>
  <si>
    <t>ORD0125</t>
  </si>
  <si>
    <t>C0488</t>
  </si>
  <si>
    <t>ORD0126</t>
  </si>
  <si>
    <t>C0161</t>
  </si>
  <si>
    <t>ORD0127</t>
  </si>
  <si>
    <t>C0111</t>
  </si>
  <si>
    <t>ORD0128</t>
  </si>
  <si>
    <t>ORD0129</t>
  </si>
  <si>
    <t>C0398</t>
  </si>
  <si>
    <t>ORD0130</t>
  </si>
  <si>
    <t>C0325</t>
  </si>
  <si>
    <t>ORD0131</t>
  </si>
  <si>
    <t>C0073</t>
  </si>
  <si>
    <t>ORD0132</t>
  </si>
  <si>
    <t>C0254</t>
  </si>
  <si>
    <t>ORD0133</t>
  </si>
  <si>
    <t>C0463</t>
  </si>
  <si>
    <t>ORD0134</t>
  </si>
  <si>
    <t>C0229</t>
  </si>
  <si>
    <t>ORD0135</t>
  </si>
  <si>
    <t>ORD0136</t>
  </si>
  <si>
    <t>C0467</t>
  </si>
  <si>
    <t>ORD0137</t>
  </si>
  <si>
    <t>C0062</t>
  </si>
  <si>
    <t>ORD0138</t>
  </si>
  <si>
    <t>ORD0139</t>
  </si>
  <si>
    <t>ORD0140</t>
  </si>
  <si>
    <t>C0455</t>
  </si>
  <si>
    <t>ORD0141</t>
  </si>
  <si>
    <t>C0201</t>
  </si>
  <si>
    <t>ORD0142</t>
  </si>
  <si>
    <t>ORD0143</t>
  </si>
  <si>
    <t>C0218</t>
  </si>
  <si>
    <t>ORD0144</t>
  </si>
  <si>
    <t>C0051</t>
  </si>
  <si>
    <t>ORD0145</t>
  </si>
  <si>
    <t>ORD0146</t>
  </si>
  <si>
    <t>C0303</t>
  </si>
  <si>
    <t>ORD0147</t>
  </si>
  <si>
    <t>C0179</t>
  </si>
  <si>
    <t>ORD0148</t>
  </si>
  <si>
    <t>C0368</t>
  </si>
  <si>
    <t>ORD0149</t>
  </si>
  <si>
    <t>ORD0150</t>
  </si>
  <si>
    <t>C0425</t>
  </si>
  <si>
    <t>ORD0151</t>
  </si>
  <si>
    <t>ORD0152</t>
  </si>
  <si>
    <t>C0210</t>
  </si>
  <si>
    <t>ORD0153</t>
  </si>
  <si>
    <t>C0231</t>
  </si>
  <si>
    <t>ORD0154</t>
  </si>
  <si>
    <t>C0431</t>
  </si>
  <si>
    <t>ORD0155</t>
  </si>
  <si>
    <t>C0367</t>
  </si>
  <si>
    <t>ORD0156</t>
  </si>
  <si>
    <t>C0337</t>
  </si>
  <si>
    <t>ORD0157</t>
  </si>
  <si>
    <t>C0191</t>
  </si>
  <si>
    <t>ORD0158</t>
  </si>
  <si>
    <t>C0461</t>
  </si>
  <si>
    <t>ORD0159</t>
  </si>
  <si>
    <t>C0414</t>
  </si>
  <si>
    <t>ORD0160</t>
  </si>
  <si>
    <t>C0065</t>
  </si>
  <si>
    <t>ORD0161</t>
  </si>
  <si>
    <t>C0100</t>
  </si>
  <si>
    <t>ORD0162</t>
  </si>
  <si>
    <t>C0403</t>
  </si>
  <si>
    <t>ORD0163</t>
  </si>
  <si>
    <t>C0195</t>
  </si>
  <si>
    <t>ORD0164</t>
  </si>
  <si>
    <t>C0374</t>
  </si>
  <si>
    <t>ORD0165</t>
  </si>
  <si>
    <t>C0167</t>
  </si>
  <si>
    <t>ORD0166</t>
  </si>
  <si>
    <t>C0351</t>
  </si>
  <si>
    <t>ORD0167</t>
  </si>
  <si>
    <t>C0131</t>
  </si>
  <si>
    <t>ORD0168</t>
  </si>
  <si>
    <t>C0249</t>
  </si>
  <si>
    <t>ORD0169</t>
  </si>
  <si>
    <t>C0343</t>
  </si>
  <si>
    <t>ORD0170</t>
  </si>
  <si>
    <t>C0069</t>
  </si>
  <si>
    <t>ORD0171</t>
  </si>
  <si>
    <t>ORD0172</t>
  </si>
  <si>
    <t>C0453</t>
  </si>
  <si>
    <t>ORD0173</t>
  </si>
  <si>
    <t>C0489</t>
  </si>
  <si>
    <t>ORD0174</t>
  </si>
  <si>
    <t>C0147</t>
  </si>
  <si>
    <t>ORD0175</t>
  </si>
  <si>
    <t>ORD0176</t>
  </si>
  <si>
    <t>C0306</t>
  </si>
  <si>
    <t>ORD0177</t>
  </si>
  <si>
    <t>C0125</t>
  </si>
  <si>
    <t>ORD0178</t>
  </si>
  <si>
    <t>C0170</t>
  </si>
  <si>
    <t>Dumbbell Set</t>
  </si>
  <si>
    <t>ORD0179</t>
  </si>
  <si>
    <t>C0273</t>
  </si>
  <si>
    <t>ORD0180</t>
  </si>
  <si>
    <t>C0220</t>
  </si>
  <si>
    <t>ORD0181</t>
  </si>
  <si>
    <t>C0272</t>
  </si>
  <si>
    <t>ORD0182</t>
  </si>
  <si>
    <t>C0260</t>
  </si>
  <si>
    <t>ORD0183</t>
  </si>
  <si>
    <t>ORD0184</t>
  </si>
  <si>
    <t>C0163</t>
  </si>
  <si>
    <t>ORD0185</t>
  </si>
  <si>
    <t>ORD0186</t>
  </si>
  <si>
    <t>ORD0187</t>
  </si>
  <si>
    <t>ORD0188</t>
  </si>
  <si>
    <t>C0321</t>
  </si>
  <si>
    <t>ORD0189</t>
  </si>
  <si>
    <t>C0301</t>
  </si>
  <si>
    <t>ORD0190</t>
  </si>
  <si>
    <t>C0473</t>
  </si>
  <si>
    <t>ORD0191</t>
  </si>
  <si>
    <t>ORD0192</t>
  </si>
  <si>
    <t>C0315</t>
  </si>
  <si>
    <t>ORD0193</t>
  </si>
  <si>
    <t>C0217</t>
  </si>
  <si>
    <t>ORD0194</t>
  </si>
  <si>
    <t>C0242</t>
  </si>
  <si>
    <t>ORD0195</t>
  </si>
  <si>
    <t>C0296</t>
  </si>
  <si>
    <t>ORD0196</t>
  </si>
  <si>
    <t>C0355</t>
  </si>
  <si>
    <t>ORD0197</t>
  </si>
  <si>
    <t>ORD0198</t>
  </si>
  <si>
    <t>ORD0199</t>
  </si>
  <si>
    <t>C0378</t>
  </si>
  <si>
    <t>ORD0200</t>
  </si>
  <si>
    <t>ORD0201</t>
  </si>
  <si>
    <t>C0250</t>
  </si>
  <si>
    <t>ORD0202</t>
  </si>
  <si>
    <t>C0481</t>
  </si>
  <si>
    <t>ORD0203</t>
  </si>
  <si>
    <t>ORD0204</t>
  </si>
  <si>
    <t>C0333</t>
  </si>
  <si>
    <t>ORD0205</t>
  </si>
  <si>
    <t>ORD0206</t>
  </si>
  <si>
    <t>ORD0207</t>
  </si>
  <si>
    <t>C0340</t>
  </si>
  <si>
    <t>ORD0208</t>
  </si>
  <si>
    <t>C0312</t>
  </si>
  <si>
    <t>ORD0209</t>
  </si>
  <si>
    <t>C0363</t>
  </si>
  <si>
    <t>ORD0210</t>
  </si>
  <si>
    <t>ORD0211</t>
  </si>
  <si>
    <t>C0070</t>
  </si>
  <si>
    <t>ORD0212</t>
  </si>
  <si>
    <t>C0415</t>
  </si>
  <si>
    <t>ORD0213</t>
  </si>
  <si>
    <t>ORD0214</t>
  </si>
  <si>
    <t>C0038</t>
  </si>
  <si>
    <t>ORD0215</t>
  </si>
  <si>
    <t>C0021</t>
  </si>
  <si>
    <t>ORD0216</t>
  </si>
  <si>
    <t>ORD0217</t>
  </si>
  <si>
    <t>C0037</t>
  </si>
  <si>
    <t>ORD0218</t>
  </si>
  <si>
    <t>C0500</t>
  </si>
  <si>
    <t>ORD0219</t>
  </si>
  <si>
    <t>C0336</t>
  </si>
  <si>
    <t>ORD0220</t>
  </si>
  <si>
    <t>C0088</t>
  </si>
  <si>
    <t>ORD0221</t>
  </si>
  <si>
    <t>C0459</t>
  </si>
  <si>
    <t>ORD0222</t>
  </si>
  <si>
    <t>ORD0223</t>
  </si>
  <si>
    <t>C0207</t>
  </si>
  <si>
    <t>ORD0224</t>
  </si>
  <si>
    <t>ORD0225</t>
  </si>
  <si>
    <t>ORD0226</t>
  </si>
  <si>
    <t>C0094</t>
  </si>
  <si>
    <t>ORD0227</t>
  </si>
  <si>
    <t>C0317</t>
  </si>
  <si>
    <t>ORD0228</t>
  </si>
  <si>
    <t>C0085</t>
  </si>
  <si>
    <t>ORD0229</t>
  </si>
  <si>
    <t>C0135</t>
  </si>
  <si>
    <t>ORD0230</t>
  </si>
  <si>
    <t>C0133</t>
  </si>
  <si>
    <t>ORD0231</t>
  </si>
  <si>
    <t>ORD0232</t>
  </si>
  <si>
    <t>C0244</t>
  </si>
  <si>
    <t>ORD0233</t>
  </si>
  <si>
    <t>C0335</t>
  </si>
  <si>
    <t>ORD0234</t>
  </si>
  <si>
    <t>ORD0235</t>
  </si>
  <si>
    <t>C0054</t>
  </si>
  <si>
    <t>ORD0236</t>
  </si>
  <si>
    <t>C0450</t>
  </si>
  <si>
    <t>ORD0237</t>
  </si>
  <si>
    <t>C0189</t>
  </si>
  <si>
    <t>ORD0238</t>
  </si>
  <si>
    <t>ORD0239</t>
  </si>
  <si>
    <t>C0138</t>
  </si>
  <si>
    <t>ORD0240</t>
  </si>
  <si>
    <t>ORD0241</t>
  </si>
  <si>
    <t>C0251</t>
  </si>
  <si>
    <t>ORD0242</t>
  </si>
  <si>
    <t>C0145</t>
  </si>
  <si>
    <t>ORD0243</t>
  </si>
  <si>
    <t>ORD0244</t>
  </si>
  <si>
    <t>C0078</t>
  </si>
  <si>
    <t>ORD0245</t>
  </si>
  <si>
    <t>C0494</t>
  </si>
  <si>
    <t>ORD0246</t>
  </si>
  <si>
    <t>ORD0247</t>
  </si>
  <si>
    <t>C0143</t>
  </si>
  <si>
    <t>ORD0248</t>
  </si>
  <si>
    <t>ORD0249</t>
  </si>
  <si>
    <t>ORD0250</t>
  </si>
  <si>
    <t>C0142</t>
  </si>
  <si>
    <t>ORD0251</t>
  </si>
  <si>
    <t>C0354</t>
  </si>
  <si>
    <t>ORD0252</t>
  </si>
  <si>
    <t>ORD0253</t>
  </si>
  <si>
    <t>ORD0254</t>
  </si>
  <si>
    <t>ORD0255</t>
  </si>
  <si>
    <t>ORD0256</t>
  </si>
  <si>
    <t>C0342</t>
  </si>
  <si>
    <t>ORD0257</t>
  </si>
  <si>
    <t>ORD0258</t>
  </si>
  <si>
    <t>ORD0259</t>
  </si>
  <si>
    <t>C0311</t>
  </si>
  <si>
    <t>ORD0260</t>
  </si>
  <si>
    <t>C0293</t>
  </si>
  <si>
    <t>ORD0261</t>
  </si>
  <si>
    <t>ORD0262</t>
  </si>
  <si>
    <t>ORD0263</t>
  </si>
  <si>
    <t>ORD0264</t>
  </si>
  <si>
    <t>C0214</t>
  </si>
  <si>
    <t>ORD0265</t>
  </si>
  <si>
    <t>C0446</t>
  </si>
  <si>
    <t>ORD0266</t>
  </si>
  <si>
    <t>C0197</t>
  </si>
  <si>
    <t>ORD0267</t>
  </si>
  <si>
    <t>ORD0268</t>
  </si>
  <si>
    <t>ORD0269</t>
  </si>
  <si>
    <t>ORD0270</t>
  </si>
  <si>
    <t>C0432</t>
  </si>
  <si>
    <t>ORD0271</t>
  </si>
  <si>
    <t>ORD0272</t>
  </si>
  <si>
    <t>ORD0273</t>
  </si>
  <si>
    <t>C0364</t>
  </si>
  <si>
    <t>ORD0274</t>
  </si>
  <si>
    <t>ORD0275</t>
  </si>
  <si>
    <t>C0352</t>
  </si>
  <si>
    <t>ORD0276</t>
  </si>
  <si>
    <t>C0444</t>
  </si>
  <si>
    <t>ORD0277</t>
  </si>
  <si>
    <t>ORD0278</t>
  </si>
  <si>
    <t>C0402</t>
  </si>
  <si>
    <t>ORD0279</t>
  </si>
  <si>
    <t>C0090</t>
  </si>
  <si>
    <t>ORD0280</t>
  </si>
  <si>
    <t>C0436</t>
  </si>
  <si>
    <t>ORD0281</t>
  </si>
  <si>
    <t>ORD0282</t>
  </si>
  <si>
    <t>ORD0283</t>
  </si>
  <si>
    <t>C0297</t>
  </si>
  <si>
    <t>ORD0284</t>
  </si>
  <si>
    <t>ORD0285</t>
  </si>
  <si>
    <t>C0064</t>
  </si>
  <si>
    <t>ORD0286</t>
  </si>
  <si>
    <t>ORD0287</t>
  </si>
  <si>
    <t>C0344</t>
  </si>
  <si>
    <t>ORD0288</t>
  </si>
  <si>
    <t>C0491</t>
  </si>
  <si>
    <t>ORD0289</t>
  </si>
  <si>
    <t>C0482</t>
  </si>
  <si>
    <t>ORD0290</t>
  </si>
  <si>
    <t>C0107</t>
  </si>
  <si>
    <t>ORD0291</t>
  </si>
  <si>
    <t>C0267</t>
  </si>
  <si>
    <t>ORD0292</t>
  </si>
  <si>
    <t>C0384</t>
  </si>
  <si>
    <t>ORD0293</t>
  </si>
  <si>
    <t>ORD0294</t>
  </si>
  <si>
    <t>C0420</t>
  </si>
  <si>
    <t>ORD0295</t>
  </si>
  <si>
    <t>C0089</t>
  </si>
  <si>
    <t>ORD0296</t>
  </si>
  <si>
    <t>ORD0297</t>
  </si>
  <si>
    <t>ORD0298</t>
  </si>
  <si>
    <t>ORD0299</t>
  </si>
  <si>
    <t>C0442</t>
  </si>
  <si>
    <t>ORD0300</t>
  </si>
  <si>
    <t>C0468</t>
  </si>
  <si>
    <t>ORD0301</t>
  </si>
  <si>
    <t>C0389</t>
  </si>
  <si>
    <t>ORD0302</t>
  </si>
  <si>
    <t>C0128</t>
  </si>
  <si>
    <t>ORD0303</t>
  </si>
  <si>
    <t>C0030</t>
  </si>
  <si>
    <t>ORD0304</t>
  </si>
  <si>
    <t>C0060</t>
  </si>
  <si>
    <t>ORD0305</t>
  </si>
  <si>
    <t>C0110</t>
  </si>
  <si>
    <t>ORD0306</t>
  </si>
  <si>
    <t>C0192</t>
  </si>
  <si>
    <t>ORD0307</t>
  </si>
  <si>
    <t>C0071</t>
  </si>
  <si>
    <t>ORD0308</t>
  </si>
  <si>
    <t>ORD0309</t>
  </si>
  <si>
    <t>C0269</t>
  </si>
  <si>
    <t>ORD0310</t>
  </si>
  <si>
    <t>ORD0311</t>
  </si>
  <si>
    <t>ORD0312</t>
  </si>
  <si>
    <t>C0081</t>
  </si>
  <si>
    <t>ORD0313</t>
  </si>
  <si>
    <t>C0394</t>
  </si>
  <si>
    <t>ORD0314</t>
  </si>
  <si>
    <t>ORD0315</t>
  </si>
  <si>
    <t>C0358</t>
  </si>
  <si>
    <t>ORD0316</t>
  </si>
  <si>
    <t>C0196</t>
  </si>
  <si>
    <t>ORD0317</t>
  </si>
  <si>
    <t>ORD0318</t>
  </si>
  <si>
    <t>C0046</t>
  </si>
  <si>
    <t>ORD0319</t>
  </si>
  <si>
    <t>C0375</t>
  </si>
  <si>
    <t>ORD0320</t>
  </si>
  <si>
    <t>C0330</t>
  </si>
  <si>
    <t>ORD0321</t>
  </si>
  <si>
    <t>C0187</t>
  </si>
  <si>
    <t>ORD0322</t>
  </si>
  <si>
    <t>ORD0323</t>
  </si>
  <si>
    <t>ORD0324</t>
  </si>
  <si>
    <t>C0059</t>
  </si>
  <si>
    <t>ORD0325</t>
  </si>
  <si>
    <t>ORD0326</t>
  </si>
  <si>
    <t>ORD0327</t>
  </si>
  <si>
    <t>C0162</t>
  </si>
  <si>
    <t>ORD0328</t>
  </si>
  <si>
    <t>C0302</t>
  </si>
  <si>
    <t>ORD0329</t>
  </si>
  <si>
    <t>C0007</t>
  </si>
  <si>
    <t>ORD0330</t>
  </si>
  <si>
    <t>C0006</t>
  </si>
  <si>
    <t>ORD0331</t>
  </si>
  <si>
    <t>C0029</t>
  </si>
  <si>
    <t>ORD0332</t>
  </si>
  <si>
    <t>C0149</t>
  </si>
  <si>
    <t>ORD0333</t>
  </si>
  <si>
    <t>ORD0334</t>
  </si>
  <si>
    <t>ORD0335</t>
  </si>
  <si>
    <t>ORD0336</t>
  </si>
  <si>
    <t>C0098</t>
  </si>
  <si>
    <t>ORD0337</t>
  </si>
  <si>
    <t>C0151</t>
  </si>
  <si>
    <t>ORD0338</t>
  </si>
  <si>
    <t>C0173</t>
  </si>
  <si>
    <t>ORD0339</t>
  </si>
  <si>
    <t>C0011</t>
  </si>
  <si>
    <t>ORD0340</t>
  </si>
  <si>
    <t>C0155</t>
  </si>
  <si>
    <t>ORD0341</t>
  </si>
  <si>
    <t>C0418</t>
  </si>
  <si>
    <t>ORD0342</t>
  </si>
  <si>
    <t>C0097</t>
  </si>
  <si>
    <t>ORD0343</t>
  </si>
  <si>
    <t>ORD0344</t>
  </si>
  <si>
    <t>ORD0345</t>
  </si>
  <si>
    <t>C0283</t>
  </si>
  <si>
    <t>ORD0346</t>
  </si>
  <si>
    <t>C0370</t>
  </si>
  <si>
    <t>ORD0347</t>
  </si>
  <si>
    <t>C0441</t>
  </si>
  <si>
    <t>ORD0348</t>
  </si>
  <si>
    <t>C0411</t>
  </si>
  <si>
    <t>ORD0349</t>
  </si>
  <si>
    <t>C0341</t>
  </si>
  <si>
    <t>ORD0350</t>
  </si>
  <si>
    <t>ORD0351</t>
  </si>
  <si>
    <t>ORD0352</t>
  </si>
  <si>
    <t>ORD0353</t>
  </si>
  <si>
    <t>ORD0354</t>
  </si>
  <si>
    <t>ORD0355</t>
  </si>
  <si>
    <t>ORD0356</t>
  </si>
  <si>
    <t>C0003</t>
  </si>
  <si>
    <t>ORD0357</t>
  </si>
  <si>
    <t>ORD0358</t>
  </si>
  <si>
    <t>C0215</t>
  </si>
  <si>
    <t>ORD0359</t>
  </si>
  <si>
    <t>C0109</t>
  </si>
  <si>
    <t>ORD0360</t>
  </si>
  <si>
    <t>ORD0361</t>
  </si>
  <si>
    <t>C0353</t>
  </si>
  <si>
    <t>ORD0362</t>
  </si>
  <si>
    <t>C0435</t>
  </si>
  <si>
    <t>ORD0363</t>
  </si>
  <si>
    <t>ORD0364</t>
  </si>
  <si>
    <t>ORD0365</t>
  </si>
  <si>
    <t>C0177</t>
  </si>
  <si>
    <t>ORD0366</t>
  </si>
  <si>
    <t>ORD0367</t>
  </si>
  <si>
    <t>C0314</t>
  </si>
  <si>
    <t>ORD0368</t>
  </si>
  <si>
    <t>ORD0369</t>
  </si>
  <si>
    <t>C0433</t>
  </si>
  <si>
    <t>ORD0370</t>
  </si>
  <si>
    <t>ORD0371</t>
  </si>
  <si>
    <t>C0129</t>
  </si>
  <si>
    <t>ORD0372</t>
  </si>
  <si>
    <t>C0122</t>
  </si>
  <si>
    <t>ORD0373</t>
  </si>
  <si>
    <t>C0224</t>
  </si>
  <si>
    <t>ORD0374</t>
  </si>
  <si>
    <t>ORD0375</t>
  </si>
  <si>
    <t>ORD0376</t>
  </si>
  <si>
    <t>C0369</t>
  </si>
  <si>
    <t>ORD0377</t>
  </si>
  <si>
    <t>C0438</t>
  </si>
  <si>
    <t>ORD0378</t>
  </si>
  <si>
    <t>ORD0379</t>
  </si>
  <si>
    <t>ORD0380</t>
  </si>
  <si>
    <t>ORD0381</t>
  </si>
  <si>
    <t>C0331</t>
  </si>
  <si>
    <t>ORD0382</t>
  </si>
  <si>
    <t>ORD0383</t>
  </si>
  <si>
    <t>ORD0384</t>
  </si>
  <si>
    <t>ORD0385</t>
  </si>
  <si>
    <t>C0176</t>
  </si>
  <si>
    <t>ORD0386</t>
  </si>
  <si>
    <t>ORD0387</t>
  </si>
  <si>
    <t>C0413</t>
  </si>
  <si>
    <t>ORD0388</t>
  </si>
  <si>
    <t>C0286</t>
  </si>
  <si>
    <t>ORD0389</t>
  </si>
  <si>
    <t>ORD0390</t>
  </si>
  <si>
    <t>C0134</t>
  </si>
  <si>
    <t>ORD0391</t>
  </si>
  <si>
    <t>ORD0392</t>
  </si>
  <si>
    <t>C0165</t>
  </si>
  <si>
    <t>ORD0393</t>
  </si>
  <si>
    <t>C0485</t>
  </si>
  <si>
    <t>ORD0394</t>
  </si>
  <si>
    <t>C0309</t>
  </si>
  <si>
    <t>ORD0395</t>
  </si>
  <si>
    <t>ORD0396</t>
  </si>
  <si>
    <t>C0123</t>
  </si>
  <si>
    <t>ORD0397</t>
  </si>
  <si>
    <t>ORD0398</t>
  </si>
  <si>
    <t>ORD0399</t>
  </si>
  <si>
    <t>ORD0400</t>
  </si>
  <si>
    <t>C0470</t>
  </si>
  <si>
    <t>ORD0401</t>
  </si>
  <si>
    <t>C0408</t>
  </si>
  <si>
    <t>ORD0402</t>
  </si>
  <si>
    <t>ORD0403</t>
  </si>
  <si>
    <t>ORD0404</t>
  </si>
  <si>
    <t>ORD0405</t>
  </si>
  <si>
    <t>ORD0406</t>
  </si>
  <si>
    <t>C0308</t>
  </si>
  <si>
    <t>ORD0407</t>
  </si>
  <si>
    <t>ORD0408</t>
  </si>
  <si>
    <t>ORD0409</t>
  </si>
  <si>
    <t>ORD0410</t>
  </si>
  <si>
    <t>ORD0411</t>
  </si>
  <si>
    <t>ORD0412</t>
  </si>
  <si>
    <t>C0280</t>
  </si>
  <si>
    <t>ORD0413</t>
  </si>
  <si>
    <t>C0271</t>
  </si>
  <si>
    <t>ORD0414</t>
  </si>
  <si>
    <t>C0080</t>
  </si>
  <si>
    <t>ORD0415</t>
  </si>
  <si>
    <t>ORD0416</t>
  </si>
  <si>
    <t>ORD0417</t>
  </si>
  <si>
    <t>ORD0418</t>
  </si>
  <si>
    <t>ORD0419</t>
  </si>
  <si>
    <t>ORD0420</t>
  </si>
  <si>
    <t>C0458</t>
  </si>
  <si>
    <t>ORD0421</t>
  </si>
  <si>
    <t>C0437</t>
  </si>
  <si>
    <t>ORD0422</t>
  </si>
  <si>
    <t>ORD0423</t>
  </si>
  <si>
    <t>ORD0424</t>
  </si>
  <si>
    <t>ORD0425</t>
  </si>
  <si>
    <t>ORD0426</t>
  </si>
  <si>
    <t>ORD0427</t>
  </si>
  <si>
    <t>ORD0428</t>
  </si>
  <si>
    <t>C0357</t>
  </si>
  <si>
    <t>ORD0429</t>
  </si>
  <si>
    <t>ORD0430</t>
  </si>
  <si>
    <t>C0258</t>
  </si>
  <si>
    <t>ORD0431</t>
  </si>
  <si>
    <t>C0202</t>
  </si>
  <si>
    <t>ORD0432</t>
  </si>
  <si>
    <t>C0148</t>
  </si>
  <si>
    <t>ORD0433</t>
  </si>
  <si>
    <t>C0443</t>
  </si>
  <si>
    <t>ORD0434</t>
  </si>
  <si>
    <t>ORD0435</t>
  </si>
  <si>
    <t>C0469</t>
  </si>
  <si>
    <t>ORD0436</t>
  </si>
  <si>
    <t>ORD0437</t>
  </si>
  <si>
    <t>ORD0438</t>
  </si>
  <si>
    <t>ORD0439</t>
  </si>
  <si>
    <t>ORD0440</t>
  </si>
  <si>
    <t>C0112</t>
  </si>
  <si>
    <t>ORD0441</t>
  </si>
  <si>
    <t>C0119</t>
  </si>
  <si>
    <t>ORD0442</t>
  </si>
  <si>
    <t>ORD0443</t>
  </si>
  <si>
    <t>ORD0444</t>
  </si>
  <si>
    <t>C0237</t>
  </si>
  <si>
    <t>ORD0445</t>
  </si>
  <si>
    <t>ORD0446</t>
  </si>
  <si>
    <t>ORD0447</t>
  </si>
  <si>
    <t>ORD0448</t>
  </si>
  <si>
    <t>C0010</t>
  </si>
  <si>
    <t>ORD0449</t>
  </si>
  <si>
    <t>ORD0450</t>
  </si>
  <si>
    <t>ORD0451</t>
  </si>
  <si>
    <t>ORD0452</t>
  </si>
  <si>
    <t>ORD0453</t>
  </si>
  <si>
    <t>ORD0454</t>
  </si>
  <si>
    <t>ORD0455</t>
  </si>
  <si>
    <t>C0212</t>
  </si>
  <si>
    <t>ORD0456</t>
  </si>
  <si>
    <t>ORD0457</t>
  </si>
  <si>
    <t>ORD0458</t>
  </si>
  <si>
    <t>C0323</t>
  </si>
  <si>
    <t>ORD0459</t>
  </si>
  <si>
    <t>ORD0460</t>
  </si>
  <si>
    <t>ORD0461</t>
  </si>
  <si>
    <t>C0291</t>
  </si>
  <si>
    <t>ORD0462</t>
  </si>
  <si>
    <t>C0012</t>
  </si>
  <si>
    <t>ORD0463</t>
  </si>
  <si>
    <t>C0124</t>
  </si>
  <si>
    <t>ORD0464</t>
  </si>
  <si>
    <t>ORD0465</t>
  </si>
  <si>
    <t>ORD0466</t>
  </si>
  <si>
    <t>C0417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</si>
  <si>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</si>
  <si>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</si>
  <si>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</si>
  <si>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</si>
  <si>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</si>
  <si>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</si>
  <si>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</si>
  <si>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</si>
  <si>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</si>
  <si>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</si>
  <si>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C0099</t>
  </si>
  <si>
    <t>ORD0477</t>
  </si>
  <si>
    <t>ORD0478</t>
  </si>
  <si>
    <t>C0366</t>
  </si>
  <si>
    <t>ORD0479</t>
  </si>
  <si>
    <t>C0265</t>
  </si>
  <si>
    <t>ORD0480</t>
  </si>
  <si>
    <t>ORD0481</t>
  </si>
  <si>
    <t>ORD0482</t>
  </si>
  <si>
    <t>ORD0483</t>
  </si>
  <si>
    <t>ORD0484</t>
  </si>
  <si>
    <t>C0300</t>
  </si>
  <si>
    <t>ORD0485</t>
  </si>
  <si>
    <t>ORD0486</t>
  </si>
  <si>
    <t>C0298</t>
  </si>
  <si>
    <t>ORD0487</t>
  </si>
  <si>
    <t>ORD0488</t>
  </si>
  <si>
    <t>ORD0489</t>
  </si>
  <si>
    <t>C0084</t>
  </si>
  <si>
    <t>ORD0490</t>
  </si>
  <si>
    <t>C0158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</si>
  <si>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</si>
  <si>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</si>
  <si>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</si>
  <si>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</si>
  <si>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</si>
  <si>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</si>
  <si>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</si>
  <si>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</si>
  <si>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</si>
  <si>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C0130</t>
  </si>
  <si>
    <t>ORD0500</t>
  </si>
  <si>
    <t>C0256</t>
  </si>
  <si>
    <t>ORD0501</t>
  </si>
  <si>
    <t>C0397</t>
  </si>
  <si>
    <t>ORD0502</t>
  </si>
  <si>
    <t>ORD0503</t>
  </si>
  <si>
    <t>C0388</t>
  </si>
  <si>
    <t>ORD0504</t>
  </si>
  <si>
    <t>C0104</t>
  </si>
  <si>
    <t>ORD0505</t>
  </si>
  <si>
    <t>ORD0506</t>
  </si>
  <si>
    <t>ORD0507</t>
  </si>
  <si>
    <t>ORD0508</t>
  </si>
  <si>
    <t>C0457</t>
  </si>
  <si>
    <t>ORD0509</t>
  </si>
  <si>
    <t>C0474</t>
  </si>
  <si>
    <t>ORD0510</t>
  </si>
  <si>
    <t>C0108</t>
  </si>
  <si>
    <t>ORD0511</t>
  </si>
  <si>
    <t>C0203</t>
  </si>
  <si>
    <t>ORD0512</t>
  </si>
  <si>
    <t>C0466</t>
  </si>
  <si>
    <t>ORD0513</t>
  </si>
  <si>
    <t>ORD0514</t>
  </si>
  <si>
    <t>C0483</t>
  </si>
  <si>
    <t>ORD0515</t>
  </si>
  <si>
    <t>C0020</t>
  </si>
  <si>
    <t>ORD0516</t>
  </si>
  <si>
    <t>C0027</t>
  </si>
  <si>
    <t>ORD0517</t>
  </si>
  <si>
    <t>ORD0518</t>
  </si>
  <si>
    <t>C0213</t>
  </si>
  <si>
    <t>ORD0519</t>
  </si>
  <si>
    <t>ORD0520</t>
  </si>
  <si>
    <t>ORD0521</t>
  </si>
  <si>
    <t>ORD0522</t>
  </si>
  <si>
    <t>ORD0523</t>
  </si>
  <si>
    <t>C0190</t>
  </si>
  <si>
    <t>ORD0524</t>
  </si>
  <si>
    <t>ORD0525</t>
  </si>
  <si>
    <t>C0246</t>
  </si>
  <si>
    <t>ORD0526</t>
  </si>
  <si>
    <t>ORD0527</t>
  </si>
  <si>
    <t>ORD0528</t>
  </si>
  <si>
    <t>ORD0529</t>
  </si>
  <si>
    <t>ORD0530</t>
  </si>
  <si>
    <t>ORD0531</t>
  </si>
  <si>
    <t>ORD0532</t>
  </si>
  <si>
    <t>C0194</t>
  </si>
  <si>
    <t>ORD0533</t>
  </si>
  <si>
    <t>ORD0534</t>
  </si>
  <si>
    <t>ORD0535</t>
  </si>
  <si>
    <t>ORD0536</t>
  </si>
  <si>
    <t>ORD0537</t>
  </si>
  <si>
    <t>C0139</t>
  </si>
  <si>
    <t>ORD0538</t>
  </si>
  <si>
    <t>ORD0539</t>
  </si>
  <si>
    <t>ORD0540</t>
  </si>
  <si>
    <t>ORD0541</t>
  </si>
  <si>
    <t>C0371</t>
  </si>
  <si>
    <t>ORD0542</t>
  </si>
  <si>
    <t>ORD0543</t>
  </si>
  <si>
    <t>ORD0544</t>
  </si>
  <si>
    <t>C0219</t>
  </si>
  <si>
    <t>ORD0545</t>
  </si>
  <si>
    <t>ORD0546</t>
  </si>
  <si>
    <t>ORD0547</t>
  </si>
  <si>
    <t>ORD0548</t>
  </si>
  <si>
    <t>ORD0549</t>
  </si>
  <si>
    <t>ORD0550</t>
  </si>
  <si>
    <t>C0236</t>
  </si>
  <si>
    <t>ORD0551</t>
  </si>
  <si>
    <t>C0034</t>
  </si>
  <si>
    <t>ORD0552</t>
  </si>
  <si>
    <t>ORD0553</t>
  </si>
  <si>
    <t>C0146</t>
  </si>
  <si>
    <t>ORD0554</t>
  </si>
  <si>
    <t>ORD0555</t>
  </si>
  <si>
    <t>C0495</t>
  </si>
  <si>
    <t>ORD0556</t>
  </si>
  <si>
    <t>ORD0557</t>
  </si>
  <si>
    <t>ORD0558</t>
  </si>
  <si>
    <t>ORD0559</t>
  </si>
  <si>
    <t>ORD0560</t>
  </si>
  <si>
    <t>C0223</t>
  </si>
  <si>
    <t>ORD0561</t>
  </si>
  <si>
    <t>ORD0562</t>
  </si>
  <si>
    <t>ORD0563</t>
  </si>
  <si>
    <t>ORD0564</t>
  </si>
  <si>
    <t>C0074</t>
  </si>
  <si>
    <t>ORD0565</t>
  </si>
  <si>
    <t>ORD0566</t>
  </si>
  <si>
    <t>ORD0567</t>
  </si>
  <si>
    <t>C0035</t>
  </si>
  <si>
    <t>ORD0568</t>
  </si>
  <si>
    <t>C0424</t>
  </si>
  <si>
    <t>ORD0569</t>
  </si>
  <si>
    <t>ORD0570</t>
  </si>
  <si>
    <t>ORD0571</t>
  </si>
  <si>
    <t>C0239</t>
  </si>
  <si>
    <t>ORD0572</t>
  </si>
  <si>
    <t>ORD0573</t>
  </si>
  <si>
    <t>ORD0574</t>
  </si>
  <si>
    <t>C0092</t>
  </si>
  <si>
    <t>ORD0575</t>
  </si>
  <si>
    <t>ORD0576</t>
  </si>
  <si>
    <t>ORD0577</t>
  </si>
  <si>
    <t>C0049</t>
  </si>
  <si>
    <t>ORD0578</t>
  </si>
  <si>
    <t>ORD0579</t>
  </si>
  <si>
    <t>ORD0580</t>
  </si>
  <si>
    <t>C0379</t>
  </si>
  <si>
    <t>ORD0581</t>
  </si>
  <si>
    <t>C0235</t>
  </si>
  <si>
    <t>ORD0582</t>
  </si>
  <si>
    <t>C0281</t>
  </si>
  <si>
    <t>ORD0583</t>
  </si>
  <si>
    <t>ORD0584</t>
  </si>
  <si>
    <t>ORD0585</t>
  </si>
  <si>
    <t>ORD0586</t>
  </si>
  <si>
    <t>ORD0587</t>
  </si>
  <si>
    <t>C0359</t>
  </si>
  <si>
    <t>ORD0588</t>
  </si>
  <si>
    <t>ORD0589</t>
  </si>
  <si>
    <t>ORD0590</t>
  </si>
  <si>
    <t>C0008</t>
  </si>
  <si>
    <t>ORD0591</t>
  </si>
  <si>
    <t>ORD0592</t>
  </si>
  <si>
    <t>C0464</t>
  </si>
  <si>
    <t>ORD0593</t>
  </si>
  <si>
    <t>C0304</t>
  </si>
  <si>
    <t>ORD0594</t>
  </si>
  <si>
    <t>C0377</t>
  </si>
  <si>
    <t>ORD0595</t>
  </si>
  <si>
    <t>ORD0596</t>
  </si>
  <si>
    <t>ORD0597</t>
  </si>
  <si>
    <t>ORD0598</t>
  </si>
  <si>
    <t>ORD0599</t>
  </si>
  <si>
    <t>C0499</t>
  </si>
  <si>
    <t>ORD0600</t>
  </si>
  <si>
    <t>C0261</t>
  </si>
  <si>
    <t>ORD0601</t>
  </si>
  <si>
    <t>ORD0602</t>
  </si>
  <si>
    <t>ORD0603</t>
  </si>
  <si>
    <t>C0137</t>
  </si>
  <si>
    <t>ORD0604</t>
  </si>
  <si>
    <t>ORD0605</t>
  </si>
  <si>
    <t>C0105</t>
  </si>
  <si>
    <t>ORD0606</t>
  </si>
  <si>
    <t>ORD0607</t>
  </si>
  <si>
    <t>ORD0608</t>
  </si>
  <si>
    <t>C0498</t>
  </si>
  <si>
    <t>ORD0609</t>
  </si>
  <si>
    <t>C0225</t>
  </si>
  <si>
    <t>ORD0610</t>
  </si>
  <si>
    <t>ORD0611</t>
  </si>
  <si>
    <t>ORD0612</t>
  </si>
  <si>
    <t>ORD0613</t>
  </si>
  <si>
    <t>C0299</t>
  </si>
  <si>
    <t>ORD0614</t>
  </si>
  <si>
    <t>ORD0615</t>
  </si>
  <si>
    <t>ORD0616</t>
  </si>
  <si>
    <t>ORD0617</t>
  </si>
  <si>
    <t>ORD0618</t>
  </si>
  <si>
    <t>C0174</t>
  </si>
  <si>
    <t>ORD0619</t>
  </si>
  <si>
    <t>ORD0620</t>
  </si>
  <si>
    <t>ORD0621</t>
  </si>
  <si>
    <t>C0033</t>
  </si>
  <si>
    <t>ORD0622</t>
  </si>
  <si>
    <t>ORD0623</t>
  </si>
  <si>
    <t>C0365</t>
  </si>
  <si>
    <t>ORD0624</t>
  </si>
  <si>
    <t>ORD0625</t>
  </si>
  <si>
    <t>C0083</t>
  </si>
  <si>
    <t>ORD0626</t>
  </si>
  <si>
    <t>C0462</t>
  </si>
  <si>
    <t>ORD0627</t>
  </si>
  <si>
    <t>ORD0628</t>
  </si>
  <si>
    <t>C0426</t>
  </si>
  <si>
    <t>ORD0629</t>
  </si>
  <si>
    <t>ORD0630</t>
  </si>
  <si>
    <t>ORD0631</t>
  </si>
  <si>
    <t>ORD0632</t>
  </si>
  <si>
    <t>ORD0633</t>
  </si>
  <si>
    <t>ORD0634</t>
  </si>
  <si>
    <t>ORD0635</t>
  </si>
  <si>
    <t>C0307</t>
  </si>
  <si>
    <t>ORD0636</t>
  </si>
  <si>
    <t>C0101</t>
  </si>
  <si>
    <t>ORD0637</t>
  </si>
  <si>
    <t>ORD0638</t>
  </si>
  <si>
    <t>ORD0639</t>
  </si>
  <si>
    <t>ORD0640</t>
  </si>
  <si>
    <t>ORD0641</t>
  </si>
  <si>
    <t>ORD0642</t>
  </si>
  <si>
    <t>ORD0643</t>
  </si>
  <si>
    <t>C0181</t>
  </si>
  <si>
    <t>ORD0644</t>
  </si>
  <si>
    <t>C0382</t>
  </si>
  <si>
    <t>ORD0645</t>
  </si>
  <si>
    <t>ORD0646</t>
  </si>
  <si>
    <t>ORD0647</t>
  </si>
  <si>
    <t>C0132</t>
  </si>
  <si>
    <t>ORD0648</t>
  </si>
  <si>
    <t>ORD0649</t>
  </si>
  <si>
    <t>ORD0650</t>
  </si>
  <si>
    <t>ORD0651</t>
  </si>
  <si>
    <t>C0121</t>
  </si>
  <si>
    <t>ORD0652</t>
  </si>
  <si>
    <t>ORD0653</t>
  </si>
  <si>
    <t>C0423</t>
  </si>
  <si>
    <t>ORD0654</t>
  </si>
  <si>
    <t>ORD0655</t>
  </si>
  <si>
    <t>C0127</t>
  </si>
  <si>
    <t>ORD0656</t>
  </si>
  <si>
    <t>ORD0657</t>
  </si>
  <si>
    <t>ORD0658</t>
  </si>
  <si>
    <t>ORD0659</t>
  </si>
  <si>
    <t>ORD0660</t>
  </si>
  <si>
    <t>ORD0661</t>
  </si>
  <si>
    <t>ORD0662</t>
  </si>
  <si>
    <t>C0183</t>
  </si>
  <si>
    <t>ORD0663</t>
  </si>
  <si>
    <t>C0429</t>
  </si>
  <si>
    <t>ORD0664</t>
  </si>
  <si>
    <t>ORD0665</t>
  </si>
  <si>
    <t>ORD0666</t>
  </si>
  <si>
    <t>C0019</t>
  </si>
  <si>
    <t>ORD0667</t>
  </si>
  <si>
    <t>ORD0668</t>
  </si>
  <si>
    <t>ORD0669</t>
  </si>
  <si>
    <t>ORD0670</t>
  </si>
  <si>
    <t>ORD0671</t>
  </si>
  <si>
    <t>ORD0672</t>
  </si>
  <si>
    <t>C0339</t>
  </si>
  <si>
    <t>ORD0673</t>
  </si>
  <si>
    <t>C0009</t>
  </si>
  <si>
    <t>ORD0674</t>
  </si>
  <si>
    <t>ORD0675</t>
  </si>
  <si>
    <t>ORD0676</t>
  </si>
  <si>
    <t>ORD0677</t>
  </si>
  <si>
    <t>ORD0678</t>
  </si>
  <si>
    <t>ORD0679</t>
  </si>
  <si>
    <t>ORD0680</t>
  </si>
  <si>
    <t>C0058</t>
  </si>
  <si>
    <t>ORD0681</t>
  </si>
  <si>
    <t>ORD0682</t>
  </si>
  <si>
    <t>C0024</t>
  </si>
  <si>
    <t>ORD0683</t>
  </si>
  <si>
    <t>C0320</t>
  </si>
  <si>
    <t>ORD0684</t>
  </si>
  <si>
    <t>C0449</t>
  </si>
  <si>
    <t>ORD0685</t>
  </si>
  <si>
    <t>ORD0686</t>
  </si>
  <si>
    <t>ORD0687</t>
  </si>
  <si>
    <t>ORD0688</t>
  </si>
  <si>
    <t>ORD0689</t>
  </si>
  <si>
    <t>ORD0690</t>
  </si>
  <si>
    <t>ORD0691</t>
  </si>
  <si>
    <t>C0171</t>
  </si>
  <si>
    <t>ORD0692</t>
  </si>
  <si>
    <t>ORD0693</t>
  </si>
  <si>
    <t>ORD0694</t>
  </si>
  <si>
    <t>ORD0695</t>
  </si>
  <si>
    <t>C0198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</si>
  <si>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</si>
  <si>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</si>
  <si>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</si>
  <si>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</si>
  <si>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</si>
  <si>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</si>
  <si>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</si>
  <si>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</si>
  <si>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</si>
  <si>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</si>
  <si>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</si>
  <si>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</si>
  <si>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C0247</t>
  </si>
  <si>
    <t>ORD0708</t>
  </si>
  <si>
    <t>ORD0709</t>
  </si>
  <si>
    <t>ORD0710</t>
  </si>
  <si>
    <t>C0383</t>
  </si>
  <si>
    <t>ORD0711</t>
  </si>
  <si>
    <t>ORD0712</t>
  </si>
  <si>
    <t>C0445</t>
  </si>
  <si>
    <t>ORD0713</t>
  </si>
  <si>
    <t>ORD0714</t>
  </si>
  <si>
    <t>C0276</t>
  </si>
  <si>
    <t>ORD0715</t>
  </si>
  <si>
    <t>ORD0716</t>
  </si>
  <si>
    <t>C0106</t>
  </si>
  <si>
    <t>ORD0717</t>
  </si>
  <si>
    <t>ORD0718</t>
  </si>
  <si>
    <t>C0480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</si>
  <si>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</si>
  <si>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</si>
  <si>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</si>
  <si>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</si>
  <si>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</si>
  <si>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</si>
  <si>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</si>
  <si>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</si>
  <si>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</si>
  <si>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</si>
  <si>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</si>
  <si>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C0454</t>
  </si>
  <si>
    <t>ORD0730</t>
  </si>
  <si>
    <t>ORD0731</t>
  </si>
  <si>
    <t>ORD0732</t>
  </si>
  <si>
    <t>ORD0733</t>
  </si>
  <si>
    <t>C0077</t>
  </si>
  <si>
    <t>ORD0734</t>
  </si>
  <si>
    <t>ORD0735</t>
  </si>
  <si>
    <t>ORD0736</t>
  </si>
  <si>
    <t>ORD0737</t>
  </si>
  <si>
    <t>ORD0738</t>
  </si>
  <si>
    <t>ORD0739</t>
  </si>
  <si>
    <t>C0055</t>
  </si>
  <si>
    <t>ORD0740</t>
  </si>
  <si>
    <t>ORD0741</t>
  </si>
  <si>
    <t>ORD0742</t>
  </si>
  <si>
    <t>ORD0743</t>
  </si>
  <si>
    <t>C0209</t>
  </si>
  <si>
    <t>ORD0744</t>
  </si>
  <si>
    <t>ORD0745</t>
  </si>
  <si>
    <t>ORD0746</t>
  </si>
  <si>
    <t>ORD0747</t>
  </si>
  <si>
    <t>C0001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</si>
  <si>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</si>
  <si>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</si>
  <si>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</si>
  <si>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</si>
  <si>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</si>
  <si>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</si>
  <si>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</si>
  <si>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</si>
  <si>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C0204</t>
  </si>
  <si>
    <t>ORD0756</t>
  </si>
  <si>
    <t>ORD0757</t>
  </si>
  <si>
    <t>ORD0758</t>
  </si>
  <si>
    <t>C0168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</si>
  <si>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</si>
  <si>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</si>
  <si>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</si>
  <si>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</si>
  <si>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</si>
  <si>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</si>
  <si>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</si>
  <si>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</si>
  <si>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</si>
  <si>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C0039</t>
  </si>
  <si>
    <t>ORD0768</t>
  </si>
  <si>
    <t>ORD0769</t>
  </si>
  <si>
    <t>C0324</t>
  </si>
  <si>
    <t>ORD0770</t>
  </si>
  <si>
    <t>C0116</t>
  </si>
  <si>
    <t>ORD0771</t>
  </si>
  <si>
    <t>ORD0772</t>
  </si>
  <si>
    <t>ORD0773</t>
  </si>
  <si>
    <t>C0285</t>
  </si>
  <si>
    <t>ORD0774</t>
  </si>
  <si>
    <t>ORD0775</t>
  </si>
  <si>
    <t>ORD0776</t>
  </si>
  <si>
    <t>C0022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</si>
  <si>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</si>
  <si>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</si>
  <si>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</si>
  <si>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</si>
  <si>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</si>
  <si>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</si>
  <si>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</si>
  <si>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</si>
  <si>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</si>
  <si>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</si>
  <si>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</si>
  <si>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</si>
  <si>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</si>
  <si>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</si>
  <si>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</si>
  <si>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</si>
  <si>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</si>
  <si>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C0211</t>
  </si>
  <si>
    <t>ORD0794</t>
  </si>
  <si>
    <t>ORD0795</t>
  </si>
  <si>
    <t>ORD0796</t>
  </si>
  <si>
    <t>ORD0797</t>
  </si>
  <si>
    <t>ORD0798</t>
  </si>
  <si>
    <t>ORD0799</t>
  </si>
  <si>
    <t>ORD0800</t>
  </si>
  <si>
    <t>行ラベル</t>
  </si>
  <si>
    <t>総計</t>
  </si>
  <si>
    <t>合計 / Revenue</t>
  </si>
  <si>
    <t>個数 / Order_ID</t>
  </si>
  <si>
    <t>平均 / Revenue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</si>
  <si>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</si>
  <si>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</si>
  <si>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</si>
  <si>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</si>
  <si>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</si>
  <si>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</si>
  <si>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</si>
  <si>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</si>
  <si>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</si>
  <si>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列ラベル</t>
  </si>
  <si>
    <t>Revenue By Category and Sale Channels</t>
    <phoneticPr fontId="18"/>
  </si>
  <si>
    <t>Revenue By Customer Type and Sale Channels</t>
    <phoneticPr fontId="18"/>
  </si>
  <si>
    <t>Average Revenue By Discount</t>
    <phoneticPr fontId="18"/>
  </si>
  <si>
    <t>Total Revenue By Discount</t>
    <phoneticPr fontId="18"/>
  </si>
  <si>
    <t xml:space="preserve"> Average and Total Revenue By Discount</t>
    <phoneticPr fontId="18"/>
  </si>
  <si>
    <t>平均 / Average</t>
  </si>
  <si>
    <t>Total Orders</t>
  </si>
  <si>
    <t>Total Revenue</t>
  </si>
  <si>
    <t>Average Revenue / Order</t>
  </si>
  <si>
    <t>Total Quantity Sold</t>
  </si>
  <si>
    <t>Average Quantity / Order</t>
  </si>
  <si>
    <t>Highest Order Revenue</t>
  </si>
  <si>
    <t>Lowest Order Revenue</t>
  </si>
  <si>
    <t>KPI</t>
    <phoneticPr fontId="18"/>
  </si>
  <si>
    <t>Result</t>
    <phoneticPr fontId="18"/>
  </si>
  <si>
    <t>E-commerce Sales Analysis Dashboard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</si>
</sst>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¥-411]#,##0_);\([$¥-411]#,##0\)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scheme val="minor"/>
    </font>
    <font>
      <b/>
      <sz val="11"/>
      <color theme="1"/>
      <name val="游ゴシック"/>
      <family val="2"/>
      <scheme val="minor"/>
    </font>
    <font>
      <b/>
      <sz val="20"/>
      <color rgb="FF0070C0"/>
      <name val="游ゴシック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0" fillId="0" borderId="10" xfId="0" applyBorder="1">
      <alignment vertical="center"/>
    </xf>
    <xf numFmtId="0" fontId="19" fillId="0" borderId="10" xfId="0" applyFont="1" applyBorder="1" applyAlignment="1">
      <alignment horizontal="center" vertical="center"/>
    </xf>
    <xf numFmtId="14" fontId="0" fillId="0" borderId="0" xfId="0" applyNumberFormat="1" applyAlignment="1">
      <alignment horizontal="left" vertical="center" indent="1"/>
    </xf>
    <xf numFmtId="0" fontId="21" fillId="33" borderId="0" xfId="0" applyFont="1" applyFill="1">
      <alignment vertical="center"/>
    </xf>
    <xf numFmtId="178" fontId="0" fillId="0" borderId="10" xfId="0" applyNumberForma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[ecommerce_sales.csv.xlsx]Monthly Revenue!ピボットテーブル12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Monthly Revenue Trend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集計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Revenue'!$A$4:$A$13</c:f>
              <c:strCache>
                <c:ptCount val="9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</c:strCache>
            </c:strRef>
          </c:cat>
          <c:val>
            <c:numRef>
              <c:f>'Monthly Revenue'!$B$4:$B$13</c:f>
              <c:numCache>
                <c:formatCode>General</c:formatCode>
                <c:ptCount val="9"/>
                <c:pt idx="0">
                  <c:v>1021890</c:v>
                </c:pt>
                <c:pt idx="1">
                  <c:v>755690</c:v>
                </c:pt>
                <c:pt idx="2">
                  <c:v>829760</c:v>
                </c:pt>
                <c:pt idx="3">
                  <c:v>799215</c:v>
                </c:pt>
                <c:pt idx="4">
                  <c:v>891280</c:v>
                </c:pt>
                <c:pt idx="5">
                  <c:v>929500</c:v>
                </c:pt>
                <c:pt idx="6">
                  <c:v>884365</c:v>
                </c:pt>
                <c:pt idx="7">
                  <c:v>869745</c:v>
                </c:pt>
                <c:pt idx="8">
                  <c:v>905465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99-4548-B0D2-810A77F4F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400448"/>
        <c:axId val="1307414896"/>
      </c:lineChart>
      <c:catAx>
        <c:axId val="169640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7414896"/>
        <c:crosses val="autoZero"/>
        <c:auto val="1"/>
        <c:lblAlgn val="ctr"/>
        <c:lblOffset val="100"/>
        <c:noMultiLvlLbl val="0"/>
      </c:catAx>
      <c:valAx>
        <c:axId val="130741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640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[ecommerce_sales.csv.xlsx]Total Revenue by Category!ピボットテーブル1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Revenue by Category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by Category'!$B$3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Revenue by Category'!$A$4:$A$9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'Total Revenue by Category'!$B$4:$B$9</c:f>
              <c:numCache>
                <c:formatCode>General</c:formatCode>
                <c:ptCount val="5"/>
                <c:pt idx="0">
                  <c:v>1097565</c:v>
                </c:pt>
                <c:pt idx="1">
                  <c:v>1867160</c:v>
                </c:pt>
                <c:pt idx="2">
                  <c:v>2300660</c:v>
                </c:pt>
                <c:pt idx="3">
                  <c:v>1364380</c:v>
                </c:pt>
                <c:pt idx="4">
                  <c:v>1257145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0-4DC6-80D3-0E003D1ED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827424"/>
        <c:axId val="1307342416"/>
      </c:barChart>
      <c:catAx>
        <c:axId val="131882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7342416"/>
        <c:crosses val="autoZero"/>
        <c:auto val="1"/>
        <c:lblAlgn val="ctr"/>
        <c:lblOffset val="100"/>
        <c:noMultiLvlLbl val="0"/>
      </c:catAx>
      <c:valAx>
        <c:axId val="130734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882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[ecommerce_sales.csv.xlsx]Revenue By Sales Channel!ピボットテーブル7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Revenue by Sales Channel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Sales Channel'!$B$3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Sales Channel'!$A$4:$A$7</c:f>
              <c:strCache>
                <c:ptCount val="3"/>
                <c:pt idx="0">
                  <c:v>Marketplace</c:v>
                </c:pt>
                <c:pt idx="1">
                  <c:v>Mobile App</c:v>
                </c:pt>
                <c:pt idx="2">
                  <c:v>Online</c:v>
                </c:pt>
              </c:strCache>
            </c:strRef>
          </c:cat>
          <c:val>
            <c:numRef>
              <c:f>'Revenue By Sales Channel'!$B$4:$B$7</c:f>
              <c:numCache>
                <c:formatCode>General</c:formatCode>
                <c:ptCount val="3"/>
                <c:pt idx="0">
                  <c:v>1407080</c:v>
                </c:pt>
                <c:pt idx="1">
                  <c:v>2541850</c:v>
                </c:pt>
                <c:pt idx="2">
                  <c:v>3937980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9-4315-B306-D1D50B312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761792"/>
        <c:axId val="1307409136"/>
      </c:barChart>
      <c:catAx>
        <c:axId val="1789761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7409136"/>
        <c:crosses val="autoZero"/>
        <c:auto val="1"/>
        <c:lblAlgn val="ctr"/>
        <c:lblOffset val="100"/>
        <c:noMultiLvlLbl val="0"/>
      </c:catAx>
      <c:valAx>
        <c:axId val="130740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976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[ecommerce_sales.csv.xlsx]Customer Behavior!ピボットテーブル4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Revenue by Customer Type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Behavior'!$B$3</c:f>
              <c:strCache>
                <c:ptCount val="1"/>
                <c:pt idx="0">
                  <c:v>集計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34-48E5-88C1-B65816287C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34-48E5-88C1-B65816287CB0}"/>
              </c:ext>
            </c:extLst>
          </c:dPt>
          <c:cat>
            <c:strRef>
              <c:f>'Customer Behavior'!$A$4:$A$6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'Customer Behavior'!$B$4:$B$6</c:f>
              <c:numCache>
                <c:formatCode>General</c:formatCode>
                <c:ptCount val="2"/>
                <c:pt idx="0">
                  <c:v>4662655</c:v>
                </c:pt>
                <c:pt idx="1">
                  <c:v>3224255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34-48E5-88C1-B65816287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[ecommerce_sales.csv.xlsx]Revenue By City!ピボットテーブル16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Revenue by City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City'!$A$4:$A$19</c:f>
              <c:strCache>
                <c:ptCount val="15"/>
                <c:pt idx="0">
                  <c:v>Chiba</c:v>
                </c:pt>
                <c:pt idx="1">
                  <c:v>Funabashi</c:v>
                </c:pt>
                <c:pt idx="2">
                  <c:v>Hachioji</c:v>
                </c:pt>
                <c:pt idx="3">
                  <c:v>Kamakura</c:v>
                </c:pt>
                <c:pt idx="4">
                  <c:v>Kashiwa</c:v>
                </c:pt>
                <c:pt idx="5">
                  <c:v>Kawagoe</c:v>
                </c:pt>
                <c:pt idx="6">
                  <c:v>Kawasaki</c:v>
                </c:pt>
                <c:pt idx="7">
                  <c:v>Maebashi</c:v>
                </c:pt>
                <c:pt idx="8">
                  <c:v>Mito</c:v>
                </c:pt>
                <c:pt idx="9">
                  <c:v>Saitama</c:v>
                </c:pt>
                <c:pt idx="10">
                  <c:v>Takasaki</c:v>
                </c:pt>
                <c:pt idx="11">
                  <c:v>Tokyo</c:v>
                </c:pt>
                <c:pt idx="12">
                  <c:v>Tsukuba</c:v>
                </c:pt>
                <c:pt idx="13">
                  <c:v>Utsunomiya</c:v>
                </c:pt>
                <c:pt idx="14">
                  <c:v>Yokohama</c:v>
                </c:pt>
              </c:strCache>
            </c:strRef>
          </c:cat>
          <c:val>
            <c:numRef>
              <c:f>'Revenue By City'!$B$4:$B$19</c:f>
              <c:numCache>
                <c:formatCode>General</c:formatCode>
                <c:ptCount val="15"/>
                <c:pt idx="0">
                  <c:v>492415</c:v>
                </c:pt>
                <c:pt idx="1">
                  <c:v>459220</c:v>
                </c:pt>
                <c:pt idx="2">
                  <c:v>650590</c:v>
                </c:pt>
                <c:pt idx="3">
                  <c:v>423875</c:v>
                </c:pt>
                <c:pt idx="4">
                  <c:v>494650</c:v>
                </c:pt>
                <c:pt idx="5">
                  <c:v>651125</c:v>
                </c:pt>
                <c:pt idx="6">
                  <c:v>585660</c:v>
                </c:pt>
                <c:pt idx="7">
                  <c:v>467670</c:v>
                </c:pt>
                <c:pt idx="8">
                  <c:v>520405</c:v>
                </c:pt>
                <c:pt idx="9">
                  <c:v>567520</c:v>
                </c:pt>
                <c:pt idx="10">
                  <c:v>545035</c:v>
                </c:pt>
                <c:pt idx="11">
                  <c:v>557770</c:v>
                </c:pt>
                <c:pt idx="12">
                  <c:v>675675</c:v>
                </c:pt>
                <c:pt idx="13">
                  <c:v>445840</c:v>
                </c:pt>
                <c:pt idx="14">
                  <c:v>349460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1-41B1-8C27-09BB56458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753904"/>
        <c:axId val="1307451856"/>
      </c:barChart>
      <c:catAx>
        <c:axId val="178975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7451856"/>
        <c:crosses val="autoZero"/>
        <c:auto val="1"/>
        <c:lblAlgn val="ctr"/>
        <c:lblOffset val="100"/>
        <c:noMultiLvlLbl val="0"/>
      </c:catAx>
      <c:valAx>
        <c:axId val="13074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975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1144814</xdr:colOff>
      <xdr:row>1</xdr:row>
      <xdr:rowOff>215899</xdr:rowOff>
    </xdr:from>
    <xdr:to>
      <xdr:col>7</xdr:col>
      <xdr:colOff>114300</xdr:colOff>
      <xdr:row>13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E26F74D-8B8C-40CB-8399-63E23E8B0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653143</xdr:colOff>
      <xdr:row>2</xdr:row>
      <xdr:rowOff>9072</xdr:rowOff>
    </xdr:from>
    <xdr:to>
      <xdr:col>14</xdr:col>
      <xdr:colOff>589643</xdr:colOff>
      <xdr:row>14</xdr:row>
      <xdr:rowOff>30843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3175034-AF32-4965-B2DA-05ACB4EC3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27214</xdr:colOff>
      <xdr:row>15</xdr:row>
      <xdr:rowOff>99786</xdr:rowOff>
    </xdr:from>
    <xdr:to>
      <xdr:col>7</xdr:col>
      <xdr:colOff>136071</xdr:colOff>
      <xdr:row>27</xdr:row>
      <xdr:rowOff>121558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1979393-A916-432C-BE62-9EDAE67F7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580571</xdr:colOff>
      <xdr:row>15</xdr:row>
      <xdr:rowOff>99785</xdr:rowOff>
    </xdr:from>
    <xdr:to>
      <xdr:col>14</xdr:col>
      <xdr:colOff>517071</xdr:colOff>
      <xdr:row>27</xdr:row>
      <xdr:rowOff>121557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0B9B74A-E1A6-4A3E-BA4E-D23789912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36286</xdr:colOff>
      <xdr:row>29</xdr:row>
      <xdr:rowOff>163286</xdr:rowOff>
    </xdr:from>
    <xdr:to>
      <xdr:col>7</xdr:col>
      <xdr:colOff>145143</xdr:colOff>
      <xdr:row>41</xdr:row>
      <xdr:rowOff>185058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F71D2D7-1557-43B1-92AD-F4DC9806D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o Hnin Pwint" refreshedDate="46295.800606018522" createdVersion="8" refreshedVersion="8" minRefreshableVersion="3" recordCount="800" xr:uid="{393C5A49-13CF-4CB8-AA20-C562C15A06F8}">
  <cacheSource type="worksheet">
    <worksheetSource ref="A1:L801" sheet="ecommerce_sales"/>
  </cacheSource>
  <cacheFields count="13">
    <cacheField name="Order_ID" numFmtId="0">
      <sharedItems/>
    </cacheField>
    <cacheField name="Customer_ID" numFmtId="0">
      <sharedItems/>
    </cacheField>
    <cacheField name="Order_Date" numFmtId="14">
      <sharedItems containsSemiMixedTypes="0" containsNonDate="0" containsDate="1" containsString="0" minDate="2026-01-01T00:00:00" maxDate="2026-10-01T00:00:00" count="263">
        <d v="2026-07-26T00:00:00"/>
        <d v="2026-07-22T00:00:00"/>
        <d v="2026-06-11T00:00:00"/>
        <d v="2026-07-17T00:00:00"/>
        <d v="2026-08-02T00:00:00"/>
        <d v="2026-01-25T00:00:00"/>
        <d v="2026-07-23T00:00:00"/>
        <d v="2026-02-25T00:00:00"/>
        <d v="2026-07-15T00:00:00"/>
        <d v="2026-09-15T00:00:00"/>
        <d v="2026-05-27T00:00:00"/>
        <d v="2026-04-12T00:00:00"/>
        <d v="2026-09-30T00:00:00"/>
        <d v="2026-08-19T00:00:00"/>
        <d v="2026-02-19T00:00:00"/>
        <d v="2026-03-28T00:00:00"/>
        <d v="2026-01-22T00:00:00"/>
        <d v="2026-04-02T00:00:00"/>
        <d v="2026-02-18T00:00:00"/>
        <d v="2026-06-05T00:00:00"/>
        <d v="2026-08-16T00:00:00"/>
        <d v="2026-02-23T00:00:00"/>
        <d v="2026-09-12T00:00:00"/>
        <d v="2026-03-09T00:00:00"/>
        <d v="2026-03-02T00:00:00"/>
        <d v="2026-02-12T00:00:00"/>
        <d v="2026-03-25T00:00:00"/>
        <d v="2026-09-07T00:00:00"/>
        <d v="2026-07-08T00:00:00"/>
        <d v="2026-07-02T00:00:00"/>
        <d v="2026-01-26T00:00:00"/>
        <d v="2026-04-06T00:00:00"/>
        <d v="2026-06-15T00:00:00"/>
        <d v="2026-05-02T00:00:00"/>
        <d v="2026-07-16T00:00:00"/>
        <d v="2026-04-27T00:00:00"/>
        <d v="2026-06-23T00:00:00"/>
        <d v="2026-05-15T00:00:00"/>
        <d v="2026-09-22T00:00:00"/>
        <d v="2026-01-11T00:00:00"/>
        <d v="2026-08-06T00:00:00"/>
        <d v="2026-04-21T00:00:00"/>
        <d v="2026-05-05T00:00:00"/>
        <d v="2026-03-20T00:00:00"/>
        <d v="2026-07-27T00:00:00"/>
        <d v="2026-01-02T00:00:00"/>
        <d v="2026-02-22T00:00:00"/>
        <d v="2026-09-17T00:00:00"/>
        <d v="2026-03-11T00:00:00"/>
        <d v="2026-09-03T00:00:00"/>
        <d v="2026-04-15T00:00:00"/>
        <d v="2026-09-14T00:00:00"/>
        <d v="2026-06-06T00:00:00"/>
        <d v="2026-06-18T00:00:00"/>
        <d v="2026-05-26T00:00:00"/>
        <d v="2026-04-08T00:00:00"/>
        <d v="2026-09-06T00:00:00"/>
        <d v="2026-03-10T00:00:00"/>
        <d v="2026-08-03T00:00:00"/>
        <d v="2026-03-31T00:00:00"/>
        <d v="2026-01-28T00:00:00"/>
        <d v="2026-01-03T00:00:00"/>
        <d v="2026-09-28T00:00:00"/>
        <d v="2026-08-25T00:00:00"/>
        <d v="2026-06-21T00:00:00"/>
        <d v="2026-07-11T00:00:00"/>
        <d v="2026-08-23T00:00:00"/>
        <d v="2026-07-21T00:00:00"/>
        <d v="2026-08-08T00:00:00"/>
        <d v="2026-02-01T00:00:00"/>
        <d v="2026-07-10T00:00:00"/>
        <d v="2026-06-08T00:00:00"/>
        <d v="2026-01-29T00:00:00"/>
        <d v="2026-06-28T00:00:00"/>
        <d v="2026-03-21T00:00:00"/>
        <d v="2026-07-06T00:00:00"/>
        <d v="2026-09-20T00:00:00"/>
        <d v="2026-01-19T00:00:00"/>
        <d v="2026-06-25T00:00:00"/>
        <d v="2026-01-20T00:00:00"/>
        <d v="2026-05-09T00:00:00"/>
        <d v="2026-08-21T00:00:00"/>
        <d v="2026-09-05T00:00:00"/>
        <d v="2026-08-07T00:00:00"/>
        <d v="2026-08-31T00:00:00"/>
        <d v="2026-04-09T00:00:00"/>
        <d v="2026-04-04T00:00:00"/>
        <d v="2026-06-17T00:00:00"/>
        <d v="2026-03-05T00:00:00"/>
        <d v="2026-07-04T00:00:00"/>
        <d v="2026-01-08T00:00:00"/>
        <d v="2026-03-13T00:00:00"/>
        <d v="2026-09-27T00:00:00"/>
        <d v="2026-08-04T00:00:00"/>
        <d v="2026-04-03T00:00:00"/>
        <d v="2026-02-11T00:00:00"/>
        <d v="2026-02-28T00:00:00"/>
        <d v="2026-06-10T00:00:00"/>
        <d v="2026-08-17T00:00:00"/>
        <d v="2026-04-01T00:00:00"/>
        <d v="2026-05-13T00:00:00"/>
        <d v="2026-01-30T00:00:00"/>
        <d v="2026-03-18T00:00:00"/>
        <d v="2026-09-02T00:00:00"/>
        <d v="2026-04-05T00:00:00"/>
        <d v="2026-01-07T00:00:00"/>
        <d v="2026-08-15T00:00:00"/>
        <d v="2026-05-20T00:00:00"/>
        <d v="2026-08-11T00:00:00"/>
        <d v="2026-04-28T00:00:00"/>
        <d v="2026-09-25T00:00:00"/>
        <d v="2026-04-25T00:00:00"/>
        <d v="2026-09-16T00:00:00"/>
        <d v="2026-02-06T00:00:00"/>
        <d v="2026-02-02T00:00:00"/>
        <d v="2026-06-09T00:00:00"/>
        <d v="2026-09-26T00:00:00"/>
        <d v="2026-09-13T00:00:00"/>
        <d v="2026-05-11T00:00:00"/>
        <d v="2026-08-26T00:00:00"/>
        <d v="2026-03-19T00:00:00"/>
        <d v="2026-06-26T00:00:00"/>
        <d v="2026-01-01T00:00:00"/>
        <d v="2026-05-07T00:00:00"/>
        <d v="2026-05-28T00:00:00"/>
        <d v="2026-05-21T00:00:00"/>
        <d v="2026-03-07T00:00:00"/>
        <d v="2026-04-26T00:00:00"/>
        <d v="2026-05-12T00:00:00"/>
        <d v="2026-09-04T00:00:00"/>
        <d v="2026-01-14T00:00:00"/>
        <d v="2026-02-10T00:00:00"/>
        <d v="2026-07-29T00:00:00"/>
        <d v="2026-02-09T00:00:00"/>
        <d v="2026-07-20T00:00:00"/>
        <d v="2026-02-15T00:00:00"/>
        <d v="2026-06-13T00:00:00"/>
        <d v="2026-05-31T00:00:00"/>
        <d v="2026-03-30T00:00:00"/>
        <d v="2026-07-30T00:00:00"/>
        <d v="2026-06-03T00:00:00"/>
        <d v="2026-02-07T00:00:00"/>
        <d v="2026-04-22T00:00:00"/>
        <d v="2026-09-29T00:00:00"/>
        <d v="2026-03-24T00:00:00"/>
        <d v="2026-06-04T00:00:00"/>
        <d v="2026-09-08T00:00:00"/>
        <d v="2026-03-29T00:00:00"/>
        <d v="2026-01-17T00:00:00"/>
        <d v="2026-05-29T00:00:00"/>
        <d v="2026-04-14T00:00:00"/>
        <d v="2026-04-17T00:00:00"/>
        <d v="2026-03-06T00:00:00"/>
        <d v="2026-01-15T00:00:00"/>
        <d v="2026-06-07T00:00:00"/>
        <d v="2026-02-08T00:00:00"/>
        <d v="2026-01-12T00:00:00"/>
        <d v="2026-07-03T00:00:00"/>
        <d v="2026-07-25T00:00:00"/>
        <d v="2026-01-13T00:00:00"/>
        <d v="2026-04-20T00:00:00"/>
        <d v="2026-09-23T00:00:00"/>
        <d v="2026-01-18T00:00:00"/>
        <d v="2026-05-01T00:00:00"/>
        <d v="2026-03-01T00:00:00"/>
        <d v="2026-02-27T00:00:00"/>
        <d v="2026-05-10T00:00:00"/>
        <d v="2026-04-23T00:00:00"/>
        <d v="2026-03-08T00:00:00"/>
        <d v="2026-02-05T00:00:00"/>
        <d v="2026-05-30T00:00:00"/>
        <d v="2026-05-18T00:00:00"/>
        <d v="2026-02-17T00:00:00"/>
        <d v="2026-02-04T00:00:00"/>
        <d v="2026-01-23T00:00:00"/>
        <d v="2026-05-04T00:00:00"/>
        <d v="2026-05-25T00:00:00"/>
        <d v="2026-09-18T00:00:00"/>
        <d v="2026-07-09T00:00:00"/>
        <d v="2026-08-09T00:00:00"/>
        <d v="2026-03-23T00:00:00"/>
        <d v="2026-02-26T00:00:00"/>
        <d v="2026-09-10T00:00:00"/>
        <d v="2026-03-16T00:00:00"/>
        <d v="2026-06-01T00:00:00"/>
        <d v="2026-08-24T00:00:00"/>
        <d v="2026-07-01T00:00:00"/>
        <d v="2026-06-30T00:00:00"/>
        <d v="2026-05-23T00:00:00"/>
        <d v="2026-05-06T00:00:00"/>
        <d v="2026-07-31T00:00:00"/>
        <d v="2026-06-12T00:00:00"/>
        <d v="2026-08-28T00:00:00"/>
        <d v="2026-03-22T00:00:00"/>
        <d v="2026-07-07T00:00:00"/>
        <d v="2026-04-24T00:00:00"/>
        <d v="2026-04-16T00:00:00"/>
        <d v="2026-07-05T00:00:00"/>
        <d v="2026-09-01T00:00:00"/>
        <d v="2026-05-16T00:00:00"/>
        <d v="2026-06-22T00:00:00"/>
        <d v="2026-08-18T00:00:00"/>
        <d v="2026-01-04T00:00:00"/>
        <d v="2026-05-03T00:00:00"/>
        <d v="2026-02-03T00:00:00"/>
        <d v="2026-01-06T00:00:00"/>
        <d v="2026-08-30T00:00:00"/>
        <d v="2026-01-24T00:00:00"/>
        <d v="2026-03-27T00:00:00"/>
        <d v="2026-07-14T00:00:00"/>
        <d v="2026-01-27T00:00:00"/>
        <d v="2026-06-19T00:00:00"/>
        <d v="2026-08-27T00:00:00"/>
        <d v="2026-02-16T00:00:00"/>
        <d v="2026-03-03T00:00:00"/>
        <d v="2026-03-14T00:00:00"/>
        <d v="2026-08-12T00:00:00"/>
        <d v="2026-03-04T00:00:00"/>
        <d v="2026-08-05T00:00:00"/>
        <d v="2026-01-16T00:00:00"/>
        <d v="2026-08-14T00:00:00"/>
        <d v="2026-06-29T00:00:00"/>
        <d v="2026-03-12T00:00:00"/>
        <d v="2026-08-10T00:00:00"/>
        <d v="2026-05-14T00:00:00"/>
        <d v="2026-01-21T00:00:00"/>
        <d v="2026-04-11T00:00:00"/>
        <d v="2026-01-09T00:00:00"/>
        <d v="2026-04-18T00:00:00"/>
        <d v="2026-06-02T00:00:00"/>
        <d v="2026-08-01T00:00:00"/>
        <d v="2026-09-19T00:00:00"/>
        <d v="2026-05-19T00:00:00"/>
        <d v="2026-04-07T00:00:00"/>
        <d v="2026-01-31T00:00:00"/>
        <d v="2026-04-29T00:00:00"/>
        <d v="2026-02-24T00:00:00"/>
        <d v="2026-08-29T00:00:00"/>
        <d v="2026-07-19T00:00:00"/>
        <d v="2026-06-16T00:00:00"/>
        <d v="2026-07-28T00:00:00"/>
        <d v="2026-07-13T00:00:00"/>
        <d v="2026-03-17T00:00:00"/>
        <d v="2026-04-13T00:00:00"/>
        <d v="2026-06-24T00:00:00"/>
        <d v="2026-09-24T00:00:00"/>
        <d v="2026-02-13T00:00:00"/>
        <d v="2026-05-08T00:00:00"/>
        <d v="2026-09-11T00:00:00"/>
        <d v="2026-06-20T00:00:00"/>
        <d v="2026-08-20T00:00:00"/>
        <d v="2026-04-19T00:00:00"/>
        <d v="2026-02-20T00:00:00"/>
        <d v="2026-01-10T00:00:00"/>
        <d v="2026-03-26T00:00:00"/>
        <d v="2026-09-21T00:00:00"/>
        <d v="2026-07-12T00:00:00"/>
        <d v="2026-03-15T00:00:00"/>
        <d v="2026-05-17T00:00:00"/>
        <d v="2026-08-22T00:00:00"/>
        <d v="2026-07-18T00:00:00"/>
        <d v="2026-06-27T00:00:00"/>
        <d v="2026-05-24T00:00:00"/>
      </sharedItems>
      <fieldGroup par="12"/>
    </cacheField>
    <cacheField name="Product" numFmtId="0">
      <sharedItems/>
    </cacheField>
    <cacheField name="Category" numFmtId="0">
      <sharedItems count="5">
        <s v="Home &amp; Kitchen"/>
        <s v="Clothing"/>
        <s v="Electronics"/>
        <s v="Sports"/>
        <s v="Beauty"/>
      </sharedItems>
    </cacheField>
    <cacheField name="Customer_Type" numFmtId="0">
      <sharedItems count="2">
        <s v="New"/>
        <s v="Returning"/>
      </sharedItems>
    </cacheField>
    <cacheField name="Sales_Channel" numFmtId="0">
      <sharedItems count="3">
        <s v="Online"/>
        <s v="Marketplace"/>
        <s v="Mobile App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2400" maxValue="12800"/>
    </cacheField>
    <cacheField name="Discount" numFmtId="0">
      <sharedItems containsSemiMixedTypes="0" containsString="0" containsNumber="1" minValue="0" maxValue="0.2" count="5">
        <n v="0"/>
        <n v="0.05"/>
        <n v="0.1"/>
        <n v="0.15"/>
        <n v="0.2"/>
      </sharedItems>
    </cacheField>
    <cacheField name="Revenue" numFmtId="0">
      <sharedItems containsSemiMixedTypes="0" containsString="0" containsNumber="1" containsInteger="1" minValue="1920" maxValue="51200"/>
    </cacheField>
    <cacheField name="Customer_City" numFmtId="0">
      <sharedItems count="15">
        <s v="Kamakura"/>
        <s v="Utsunomiya"/>
        <s v="Mito"/>
        <s v="Tsukuba"/>
        <s v="Funabashi"/>
        <s v="Chiba"/>
        <s v="Saitama"/>
        <s v="Kawasaki"/>
        <s v="Kashiwa"/>
        <s v="Kawagoe"/>
        <s v="Maebashi"/>
        <s v="Hachioji"/>
        <s v="Tokyo"/>
        <s v="Takasaki"/>
        <s v="Yokohama"/>
      </sharedItems>
    </cacheField>
    <cacheField name="月 (Order_Date)" numFmtId="0" databaseField="0">
      <fieldGroup base="2">
        <rangePr groupBy="months" startDate="2026-01-01T00:00:00" endDate="2026-10-01T00:00:00"/>
        <groupItems count="14">
          <s v="&lt;2026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0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ORD0001"/>
    <s v="C0292"/>
    <x v="0"/>
    <s v="Coffee Maker"/>
    <x v="0"/>
    <x v="0"/>
    <x v="0"/>
    <n v="1"/>
    <n v="7600"/>
    <x v="0"/>
    <n v="7600"/>
    <x v="0"/>
  </r>
  <r>
    <s v="ORD0002"/>
    <s v="C0274"/>
    <x v="1"/>
    <s v="Jeans"/>
    <x v="1"/>
    <x v="0"/>
    <x v="1"/>
    <n v="2"/>
    <n v="7600"/>
    <x v="0"/>
    <n v="15200"/>
    <x v="1"/>
  </r>
  <r>
    <s v="ORD0003"/>
    <s v="C0288"/>
    <x v="2"/>
    <s v="Wireless Mouse"/>
    <x v="2"/>
    <x v="0"/>
    <x v="2"/>
    <n v="1"/>
    <n v="3500"/>
    <x v="0"/>
    <n v="3500"/>
    <x v="2"/>
  </r>
  <r>
    <s v="ORD0004"/>
    <s v="C0118"/>
    <x v="3"/>
    <s v="Wireless Headphones"/>
    <x v="2"/>
    <x v="1"/>
    <x v="2"/>
    <n v="1"/>
    <n v="8500"/>
    <x v="1"/>
    <n v="8075"/>
    <x v="3"/>
  </r>
  <r>
    <s v="ORD0005"/>
    <s v="C0082"/>
    <x v="4"/>
    <s v="Wireless Mouse"/>
    <x v="2"/>
    <x v="1"/>
    <x v="2"/>
    <n v="3"/>
    <n v="3500"/>
    <x v="2"/>
    <n v="9450"/>
    <x v="4"/>
  </r>
  <r>
    <s v="ORD0006"/>
    <s v="C0068"/>
    <x v="5"/>
    <s v="Table Lamp"/>
    <x v="0"/>
    <x v="1"/>
    <x v="0"/>
    <n v="2"/>
    <n v="5400"/>
    <x v="2"/>
    <n v="9720"/>
    <x v="0"/>
  </r>
  <r>
    <s v="ORD0007"/>
    <s v="C0310"/>
    <x v="6"/>
    <s v="Table Lamp"/>
    <x v="0"/>
    <x v="0"/>
    <x v="2"/>
    <n v="2"/>
    <n v="5400"/>
    <x v="0"/>
    <n v="10800"/>
    <x v="3"/>
  </r>
  <r>
    <s v="ORD0008"/>
    <s v="C0076"/>
    <x v="7"/>
    <s v="Running Shoes"/>
    <x v="3"/>
    <x v="1"/>
    <x v="0"/>
    <n v="2"/>
    <n v="9200"/>
    <x v="0"/>
    <n v="18400"/>
    <x v="3"/>
  </r>
  <r>
    <s v="ORD0009"/>
    <s v="C0234"/>
    <x v="8"/>
    <s v="Bluetooth Speaker"/>
    <x v="2"/>
    <x v="0"/>
    <x v="1"/>
    <n v="1"/>
    <n v="6200"/>
    <x v="2"/>
    <n v="5580"/>
    <x v="1"/>
  </r>
  <r>
    <s v="ORD0010"/>
    <s v="C0175"/>
    <x v="9"/>
    <s v="Beauty Mirror"/>
    <x v="4"/>
    <x v="1"/>
    <x v="0"/>
    <n v="2"/>
    <n v="4500"/>
    <x v="0"/>
    <n v="9000"/>
    <x v="3"/>
  </r>
  <r>
    <s v="ORD0011"/>
    <s v="C0356"/>
    <x v="10"/>
    <s v="Body Lotion"/>
    <x v="4"/>
    <x v="0"/>
    <x v="0"/>
    <n v="1"/>
    <n v="2400"/>
    <x v="2"/>
    <n v="2160"/>
    <x v="0"/>
  </r>
  <r>
    <s v="ORD0012"/>
    <s v="C0348"/>
    <x v="11"/>
    <s v="Smart Watch"/>
    <x v="2"/>
    <x v="0"/>
    <x v="0"/>
    <n v="2"/>
    <n v="12800"/>
    <x v="2"/>
    <n v="23040"/>
    <x v="5"/>
  </r>
  <r>
    <s v="ORD0013"/>
    <s v="C0150"/>
    <x v="12"/>
    <s v="Running Shoes"/>
    <x v="3"/>
    <x v="1"/>
    <x v="2"/>
    <n v="1"/>
    <n v="9200"/>
    <x v="3"/>
    <n v="7820"/>
    <x v="6"/>
  </r>
  <r>
    <s v="ORD0014"/>
    <s v="C0419"/>
    <x v="13"/>
    <s v="Facial Cleanser"/>
    <x v="4"/>
    <x v="0"/>
    <x v="1"/>
    <n v="1"/>
    <n v="2800"/>
    <x v="0"/>
    <n v="2800"/>
    <x v="7"/>
  </r>
  <r>
    <s v="ORD0015"/>
    <s v="C0486"/>
    <x v="14"/>
    <s v="Sports Bag"/>
    <x v="3"/>
    <x v="0"/>
    <x v="2"/>
    <n v="1"/>
    <n v="5600"/>
    <x v="0"/>
    <n v="5600"/>
    <x v="8"/>
  </r>
  <r>
    <s v="ORD0016"/>
    <s v="C0405"/>
    <x v="15"/>
    <s v="Beauty Mirror"/>
    <x v="4"/>
    <x v="0"/>
    <x v="1"/>
    <n v="2"/>
    <n v="4500"/>
    <x v="2"/>
    <n v="8100"/>
    <x v="3"/>
  </r>
  <r>
    <s v="ORD0017"/>
    <s v="C0159"/>
    <x v="16"/>
    <s v="Skincare Set"/>
    <x v="4"/>
    <x v="1"/>
    <x v="2"/>
    <n v="2"/>
    <n v="7200"/>
    <x v="3"/>
    <n v="12240"/>
    <x v="5"/>
  </r>
  <r>
    <s v="ORD0018"/>
    <s v="C0048"/>
    <x v="17"/>
    <s v="Skincare Set"/>
    <x v="4"/>
    <x v="1"/>
    <x v="1"/>
    <n v="2"/>
    <n v="7200"/>
    <x v="1"/>
    <n v="13680"/>
    <x v="3"/>
  </r>
  <r>
    <s v="ORD0019"/>
    <s v="C0095"/>
    <x v="18"/>
    <s v="Wireless Mouse"/>
    <x v="2"/>
    <x v="1"/>
    <x v="2"/>
    <n v="1"/>
    <n v="3500"/>
    <x v="2"/>
    <n v="3150"/>
    <x v="6"/>
  </r>
  <r>
    <s v="ORD0020"/>
    <s v="C0328"/>
    <x v="19"/>
    <s v="Sneakers"/>
    <x v="1"/>
    <x v="0"/>
    <x v="0"/>
    <n v="2"/>
    <n v="8900"/>
    <x v="2"/>
    <n v="16020"/>
    <x v="9"/>
  </r>
  <r>
    <s v="ORD0021"/>
    <s v="C0169"/>
    <x v="20"/>
    <s v="Electric Kettle"/>
    <x v="0"/>
    <x v="1"/>
    <x v="2"/>
    <n v="1"/>
    <n v="4800"/>
    <x v="1"/>
    <n v="4560"/>
    <x v="9"/>
  </r>
  <r>
    <s v="ORD0022"/>
    <s v="C0031"/>
    <x v="21"/>
    <s v="Jacket"/>
    <x v="1"/>
    <x v="1"/>
    <x v="0"/>
    <n v="2"/>
    <n v="11500"/>
    <x v="0"/>
    <n v="23000"/>
    <x v="9"/>
  </r>
  <r>
    <s v="ORD0023"/>
    <s v="C0050"/>
    <x v="22"/>
    <s v="Coffee Maker"/>
    <x v="0"/>
    <x v="1"/>
    <x v="0"/>
    <n v="1"/>
    <n v="7600"/>
    <x v="1"/>
    <n v="7220"/>
    <x v="5"/>
  </r>
  <r>
    <s v="ORD0024"/>
    <s v="C0479"/>
    <x v="23"/>
    <s v="T-Shirt"/>
    <x v="1"/>
    <x v="0"/>
    <x v="1"/>
    <n v="2"/>
    <n v="3200"/>
    <x v="1"/>
    <n v="6080"/>
    <x v="10"/>
  </r>
  <r>
    <s v="ORD0025"/>
    <s v="C0282"/>
    <x v="24"/>
    <s v="USB-C Hub"/>
    <x v="2"/>
    <x v="0"/>
    <x v="0"/>
    <n v="2"/>
    <n v="4200"/>
    <x v="1"/>
    <n v="7980"/>
    <x v="1"/>
  </r>
  <r>
    <s v="ORD0026"/>
    <s v="C0430"/>
    <x v="25"/>
    <s v="Yoga Mat"/>
    <x v="3"/>
    <x v="0"/>
    <x v="0"/>
    <n v="2"/>
    <n v="3800"/>
    <x v="1"/>
    <n v="7220"/>
    <x v="10"/>
  </r>
  <r>
    <s v="ORD0027"/>
    <s v="C0407"/>
    <x v="26"/>
    <s v="Smart Watch"/>
    <x v="2"/>
    <x v="0"/>
    <x v="2"/>
    <n v="1"/>
    <n v="12800"/>
    <x v="3"/>
    <n v="10880"/>
    <x v="4"/>
  </r>
  <r>
    <s v="ORD0028"/>
    <s v="C0496"/>
    <x v="27"/>
    <s v="Wireless Mouse"/>
    <x v="2"/>
    <x v="0"/>
    <x v="2"/>
    <n v="1"/>
    <n v="3500"/>
    <x v="0"/>
    <n v="3500"/>
    <x v="10"/>
  </r>
  <r>
    <s v="ORD0029"/>
    <s v="C0185"/>
    <x v="28"/>
    <s v="Coffee Maker"/>
    <x v="0"/>
    <x v="1"/>
    <x v="2"/>
    <n v="3"/>
    <n v="7600"/>
    <x v="0"/>
    <n v="22800"/>
    <x v="6"/>
  </r>
  <r>
    <s v="ORD0030"/>
    <s v="C0316"/>
    <x v="29"/>
    <s v="Storage Box Set"/>
    <x v="0"/>
    <x v="0"/>
    <x v="1"/>
    <n v="1"/>
    <n v="3200"/>
    <x v="3"/>
    <n v="2720"/>
    <x v="11"/>
  </r>
  <r>
    <s v="ORD0031"/>
    <s v="C0348"/>
    <x v="30"/>
    <s v="Hair Dryer"/>
    <x v="4"/>
    <x v="0"/>
    <x v="2"/>
    <n v="1"/>
    <n v="6800"/>
    <x v="1"/>
    <n v="6460"/>
    <x v="9"/>
  </r>
  <r>
    <s v="ORD0032"/>
    <s v="C0262"/>
    <x v="31"/>
    <s v="Fitness Band"/>
    <x v="3"/>
    <x v="0"/>
    <x v="0"/>
    <n v="2"/>
    <n v="4100"/>
    <x v="0"/>
    <n v="8200"/>
    <x v="7"/>
  </r>
  <r>
    <s v="ORD0033"/>
    <s v="C0221"/>
    <x v="32"/>
    <s v="Wireless Headphones"/>
    <x v="2"/>
    <x v="0"/>
    <x v="0"/>
    <n v="4"/>
    <n v="8500"/>
    <x v="2"/>
    <n v="30600"/>
    <x v="2"/>
  </r>
  <r>
    <s v="ORD0034"/>
    <s v="C0268"/>
    <x v="33"/>
    <s v="Jacket"/>
    <x v="1"/>
    <x v="0"/>
    <x v="1"/>
    <n v="3"/>
    <n v="11500"/>
    <x v="2"/>
    <n v="31050"/>
    <x v="12"/>
  </r>
  <r>
    <s v="ORD0035"/>
    <s v="C0263"/>
    <x v="34"/>
    <s v="Jacket"/>
    <x v="1"/>
    <x v="0"/>
    <x v="2"/>
    <n v="1"/>
    <n v="11500"/>
    <x v="1"/>
    <n v="10925"/>
    <x v="9"/>
  </r>
  <r>
    <s v="ORD0036"/>
    <s v="C0002"/>
    <x v="35"/>
    <s v="Beauty Mirror"/>
    <x v="4"/>
    <x v="1"/>
    <x v="0"/>
    <n v="1"/>
    <n v="4500"/>
    <x v="0"/>
    <n v="4500"/>
    <x v="3"/>
  </r>
  <r>
    <s v="ORD0037"/>
    <s v="C0448"/>
    <x v="36"/>
    <s v="Hoodie"/>
    <x v="1"/>
    <x v="0"/>
    <x v="2"/>
    <n v="2"/>
    <n v="5900"/>
    <x v="2"/>
    <n v="10620"/>
    <x v="7"/>
  </r>
  <r>
    <s v="ORD0038"/>
    <s v="C0391"/>
    <x v="37"/>
    <s v="Sports Bag"/>
    <x v="3"/>
    <x v="0"/>
    <x v="0"/>
    <n v="2"/>
    <n v="5600"/>
    <x v="3"/>
    <n v="9520"/>
    <x v="1"/>
  </r>
  <r>
    <s v="ORD0039"/>
    <s v="C0036"/>
    <x v="38"/>
    <s v="Yoga Mat"/>
    <x v="3"/>
    <x v="1"/>
    <x v="1"/>
    <n v="3"/>
    <n v="3800"/>
    <x v="1"/>
    <n v="10830"/>
    <x v="13"/>
  </r>
  <r>
    <s v="ORD0040"/>
    <s v="C0294"/>
    <x v="39"/>
    <s v="Table Lamp"/>
    <x v="0"/>
    <x v="0"/>
    <x v="0"/>
    <n v="1"/>
    <n v="5400"/>
    <x v="2"/>
    <n v="4860"/>
    <x v="10"/>
  </r>
  <r>
    <s v="ORD0041"/>
    <s v="C0023"/>
    <x v="40"/>
    <s v="Smart Watch"/>
    <x v="2"/>
    <x v="1"/>
    <x v="2"/>
    <n v="2"/>
    <n v="12800"/>
    <x v="0"/>
    <n v="25600"/>
    <x v="9"/>
  </r>
  <r>
    <s v="ORD0042"/>
    <s v="C0399"/>
    <x v="41"/>
    <s v="Coffee Maker"/>
    <x v="0"/>
    <x v="0"/>
    <x v="0"/>
    <n v="2"/>
    <n v="7600"/>
    <x v="2"/>
    <n v="13680"/>
    <x v="14"/>
  </r>
  <r>
    <s v="ORD0043"/>
    <s v="C0347"/>
    <x v="42"/>
    <s v="T-Shirt"/>
    <x v="1"/>
    <x v="0"/>
    <x v="2"/>
    <n v="1"/>
    <n v="3200"/>
    <x v="3"/>
    <n v="2720"/>
    <x v="6"/>
  </r>
  <r>
    <s v="ORD0044"/>
    <s v="C0199"/>
    <x v="43"/>
    <s v="Bluetooth Speaker"/>
    <x v="2"/>
    <x v="1"/>
    <x v="2"/>
    <n v="2"/>
    <n v="6200"/>
    <x v="1"/>
    <n v="11780"/>
    <x v="1"/>
  </r>
  <r>
    <s v="ORD0045"/>
    <s v="C0045"/>
    <x v="44"/>
    <s v="Bluetooth Speaker"/>
    <x v="2"/>
    <x v="1"/>
    <x v="0"/>
    <n v="2"/>
    <n v="6200"/>
    <x v="2"/>
    <n v="11160"/>
    <x v="2"/>
  </r>
  <r>
    <s v="ORD0046"/>
    <s v="C0205"/>
    <x v="45"/>
    <s v="Sports Bag"/>
    <x v="3"/>
    <x v="1"/>
    <x v="2"/>
    <n v="1"/>
    <n v="5600"/>
    <x v="2"/>
    <n v="5040"/>
    <x v="8"/>
  </r>
  <r>
    <s v="ORD0047"/>
    <s v="C0428"/>
    <x v="46"/>
    <s v="Jacket"/>
    <x v="1"/>
    <x v="0"/>
    <x v="0"/>
    <n v="1"/>
    <n v="11500"/>
    <x v="2"/>
    <n v="10350"/>
    <x v="5"/>
  </r>
  <r>
    <s v="ORD0048"/>
    <s v="C0277"/>
    <x v="47"/>
    <s v="Sports Bag"/>
    <x v="3"/>
    <x v="0"/>
    <x v="2"/>
    <n v="3"/>
    <n v="5600"/>
    <x v="2"/>
    <n v="15120"/>
    <x v="8"/>
  </r>
  <r>
    <s v="ORD0049"/>
    <s v="C0393"/>
    <x v="26"/>
    <s v="USB-C Hub"/>
    <x v="2"/>
    <x v="0"/>
    <x v="0"/>
    <n v="2"/>
    <n v="4200"/>
    <x v="3"/>
    <n v="7140"/>
    <x v="12"/>
  </r>
  <r>
    <s v="ORD0050"/>
    <s v="C0264"/>
    <x v="48"/>
    <s v="Facial Cleanser"/>
    <x v="4"/>
    <x v="0"/>
    <x v="2"/>
    <n v="1"/>
    <n v="2800"/>
    <x v="2"/>
    <n v="2520"/>
    <x v="1"/>
  </r>
  <r>
    <s v="ORD0051"/>
    <s v="C0439"/>
    <x v="49"/>
    <s v="Running Shoes"/>
    <x v="3"/>
    <x v="0"/>
    <x v="2"/>
    <n v="2"/>
    <n v="9200"/>
    <x v="2"/>
    <n v="16560"/>
    <x v="9"/>
  </r>
  <r>
    <s v="ORD0052"/>
    <s v="C0452"/>
    <x v="50"/>
    <s v="Facial Cleanser"/>
    <x v="4"/>
    <x v="0"/>
    <x v="2"/>
    <n v="1"/>
    <n v="2800"/>
    <x v="1"/>
    <n v="2660"/>
    <x v="12"/>
  </r>
  <r>
    <s v="ORD0053"/>
    <s v="C0238"/>
    <x v="51"/>
    <s v="Running Shoes"/>
    <x v="3"/>
    <x v="0"/>
    <x v="0"/>
    <n v="1"/>
    <n v="9200"/>
    <x v="0"/>
    <n v="9200"/>
    <x v="6"/>
  </r>
  <r>
    <s v="ORD0054"/>
    <s v="C0117"/>
    <x v="52"/>
    <s v="Hair Dryer"/>
    <x v="4"/>
    <x v="1"/>
    <x v="0"/>
    <n v="1"/>
    <n v="6800"/>
    <x v="4"/>
    <n v="5440"/>
    <x v="13"/>
  </r>
  <r>
    <s v="ORD0055"/>
    <s v="C0026"/>
    <x v="42"/>
    <s v="Bluetooth Speaker"/>
    <x v="2"/>
    <x v="1"/>
    <x v="2"/>
    <n v="1"/>
    <n v="6200"/>
    <x v="3"/>
    <n v="5270"/>
    <x v="3"/>
  </r>
  <r>
    <s v="ORD0056"/>
    <s v="C0159"/>
    <x v="53"/>
    <s v="Wireless Mouse"/>
    <x v="2"/>
    <x v="1"/>
    <x v="2"/>
    <n v="3"/>
    <n v="3500"/>
    <x v="2"/>
    <n v="9450"/>
    <x v="3"/>
  </r>
  <r>
    <s v="ORD0057"/>
    <s v="C0284"/>
    <x v="54"/>
    <s v="Sneakers"/>
    <x v="1"/>
    <x v="0"/>
    <x v="1"/>
    <n v="2"/>
    <n v="8900"/>
    <x v="0"/>
    <n v="17800"/>
    <x v="2"/>
  </r>
  <r>
    <s v="ORD0058"/>
    <s v="C0447"/>
    <x v="55"/>
    <s v="Smart Watch"/>
    <x v="2"/>
    <x v="0"/>
    <x v="2"/>
    <n v="1"/>
    <n v="12800"/>
    <x v="1"/>
    <n v="12160"/>
    <x v="1"/>
  </r>
  <r>
    <s v="ORD0059"/>
    <s v="C0448"/>
    <x v="56"/>
    <s v="Table Lamp"/>
    <x v="0"/>
    <x v="0"/>
    <x v="1"/>
    <n v="1"/>
    <n v="5400"/>
    <x v="1"/>
    <n v="5130"/>
    <x v="10"/>
  </r>
  <r>
    <s v="ORD0060"/>
    <s v="C0410"/>
    <x v="57"/>
    <s v="Hoodie"/>
    <x v="1"/>
    <x v="0"/>
    <x v="1"/>
    <n v="1"/>
    <n v="5900"/>
    <x v="3"/>
    <n v="5015"/>
    <x v="11"/>
  </r>
  <r>
    <s v="ORD0061"/>
    <s v="C0305"/>
    <x v="58"/>
    <s v="Skincare Set"/>
    <x v="4"/>
    <x v="0"/>
    <x v="2"/>
    <n v="2"/>
    <n v="7200"/>
    <x v="1"/>
    <n v="13680"/>
    <x v="9"/>
  </r>
  <r>
    <s v="ORD0062"/>
    <s v="C0154"/>
    <x v="59"/>
    <s v="Wireless Mouse"/>
    <x v="2"/>
    <x v="1"/>
    <x v="0"/>
    <n v="1"/>
    <n v="3500"/>
    <x v="3"/>
    <n v="2975"/>
    <x v="6"/>
  </r>
  <r>
    <s v="ORD0063"/>
    <s v="C0186"/>
    <x v="60"/>
    <s v="Air Fryer"/>
    <x v="0"/>
    <x v="1"/>
    <x v="0"/>
    <n v="2"/>
    <n v="9800"/>
    <x v="3"/>
    <n v="16660"/>
    <x v="9"/>
  </r>
  <r>
    <s v="ORD0064"/>
    <s v="C0287"/>
    <x v="49"/>
    <s v="Hoodie"/>
    <x v="1"/>
    <x v="0"/>
    <x v="1"/>
    <n v="1"/>
    <n v="5900"/>
    <x v="1"/>
    <n v="5605"/>
    <x v="3"/>
  </r>
  <r>
    <s v="ORD0065"/>
    <s v="C0277"/>
    <x v="61"/>
    <s v="Bluetooth Speaker"/>
    <x v="2"/>
    <x v="0"/>
    <x v="2"/>
    <n v="1"/>
    <n v="6200"/>
    <x v="0"/>
    <n v="6200"/>
    <x v="12"/>
  </r>
  <r>
    <s v="ORD0066"/>
    <s v="C0451"/>
    <x v="62"/>
    <s v="Jacket"/>
    <x v="1"/>
    <x v="0"/>
    <x v="0"/>
    <n v="3"/>
    <n v="11500"/>
    <x v="3"/>
    <n v="29325"/>
    <x v="13"/>
  </r>
  <r>
    <s v="ORD0067"/>
    <s v="C0180"/>
    <x v="63"/>
    <s v="Sports Bag"/>
    <x v="3"/>
    <x v="1"/>
    <x v="2"/>
    <n v="1"/>
    <n v="5600"/>
    <x v="2"/>
    <n v="5040"/>
    <x v="13"/>
  </r>
  <r>
    <s v="ORD0068"/>
    <s v="C0002"/>
    <x v="64"/>
    <s v="Bluetooth Speaker"/>
    <x v="2"/>
    <x v="1"/>
    <x v="0"/>
    <n v="2"/>
    <n v="6200"/>
    <x v="2"/>
    <n v="11160"/>
    <x v="14"/>
  </r>
  <r>
    <s v="ORD0069"/>
    <s v="C0404"/>
    <x v="65"/>
    <s v="Sneakers"/>
    <x v="1"/>
    <x v="0"/>
    <x v="2"/>
    <n v="2"/>
    <n v="8900"/>
    <x v="2"/>
    <n v="16020"/>
    <x v="7"/>
  </r>
  <r>
    <s v="ORD0070"/>
    <s v="C0240"/>
    <x v="66"/>
    <s v="Beauty Mirror"/>
    <x v="4"/>
    <x v="0"/>
    <x v="1"/>
    <n v="1"/>
    <n v="4500"/>
    <x v="0"/>
    <n v="4500"/>
    <x v="5"/>
  </r>
  <r>
    <s v="ORD0071"/>
    <s v="C0086"/>
    <x v="19"/>
    <s v="Jacket"/>
    <x v="1"/>
    <x v="1"/>
    <x v="1"/>
    <n v="1"/>
    <n v="11500"/>
    <x v="2"/>
    <n v="10350"/>
    <x v="1"/>
  </r>
  <r>
    <s v="ORD0072"/>
    <s v="C0140"/>
    <x v="67"/>
    <s v="Electric Kettle"/>
    <x v="0"/>
    <x v="1"/>
    <x v="0"/>
    <n v="1"/>
    <n v="4800"/>
    <x v="1"/>
    <n v="4560"/>
    <x v="1"/>
  </r>
  <r>
    <s v="ORD0073"/>
    <s v="C0200"/>
    <x v="42"/>
    <s v="T-Shirt"/>
    <x v="1"/>
    <x v="1"/>
    <x v="0"/>
    <n v="1"/>
    <n v="3200"/>
    <x v="3"/>
    <n v="2720"/>
    <x v="5"/>
  </r>
  <r>
    <s v="ORD0074"/>
    <s v="C0338"/>
    <x v="68"/>
    <s v="Wireless Mouse"/>
    <x v="2"/>
    <x v="0"/>
    <x v="2"/>
    <n v="1"/>
    <n v="3500"/>
    <x v="2"/>
    <n v="3150"/>
    <x v="6"/>
  </r>
  <r>
    <s v="ORD0075"/>
    <s v="C0017"/>
    <x v="69"/>
    <s v="Jeans"/>
    <x v="1"/>
    <x v="1"/>
    <x v="2"/>
    <n v="2"/>
    <n v="7600"/>
    <x v="4"/>
    <n v="12160"/>
    <x v="7"/>
  </r>
  <r>
    <s v="ORD0076"/>
    <s v="C0412"/>
    <x v="22"/>
    <s v="USB-C Hub"/>
    <x v="2"/>
    <x v="0"/>
    <x v="2"/>
    <n v="1"/>
    <n v="4200"/>
    <x v="3"/>
    <n v="3570"/>
    <x v="10"/>
  </r>
  <r>
    <s v="ORD0077"/>
    <s v="C0014"/>
    <x v="70"/>
    <s v="Body Lotion"/>
    <x v="4"/>
    <x v="1"/>
    <x v="1"/>
    <n v="1"/>
    <n v="2400"/>
    <x v="3"/>
    <n v="2040"/>
    <x v="4"/>
  </r>
  <r>
    <s v="ORD0078"/>
    <s v="C0114"/>
    <x v="71"/>
    <s v="Running Shoes"/>
    <x v="3"/>
    <x v="1"/>
    <x v="2"/>
    <n v="2"/>
    <n v="9200"/>
    <x v="2"/>
    <n v="16560"/>
    <x v="1"/>
  </r>
  <r>
    <s v="ORD0079"/>
    <s v="C0465"/>
    <x v="72"/>
    <s v="Jeans"/>
    <x v="1"/>
    <x v="0"/>
    <x v="2"/>
    <n v="3"/>
    <n v="7600"/>
    <x v="1"/>
    <n v="21660"/>
    <x v="9"/>
  </r>
  <r>
    <s v="ORD0080"/>
    <s v="C0350"/>
    <x v="73"/>
    <s v="Sports Bag"/>
    <x v="3"/>
    <x v="0"/>
    <x v="0"/>
    <n v="3"/>
    <n v="5600"/>
    <x v="1"/>
    <n v="15960"/>
    <x v="11"/>
  </r>
  <r>
    <s v="ORD0081"/>
    <s v="C0154"/>
    <x v="56"/>
    <s v="Sneakers"/>
    <x v="1"/>
    <x v="1"/>
    <x v="2"/>
    <n v="1"/>
    <n v="8900"/>
    <x v="1"/>
    <n v="8455"/>
    <x v="12"/>
  </r>
  <r>
    <s v="ORD0082"/>
    <s v="C0166"/>
    <x v="74"/>
    <s v="Coffee Maker"/>
    <x v="0"/>
    <x v="1"/>
    <x v="0"/>
    <n v="1"/>
    <n v="7600"/>
    <x v="2"/>
    <n v="6840"/>
    <x v="1"/>
  </r>
  <r>
    <s v="ORD0083"/>
    <s v="C0028"/>
    <x v="75"/>
    <s v="Wireless Headphones"/>
    <x v="2"/>
    <x v="1"/>
    <x v="0"/>
    <n v="1"/>
    <n v="8500"/>
    <x v="0"/>
    <n v="8500"/>
    <x v="13"/>
  </r>
  <r>
    <s v="ORD0084"/>
    <s v="C0156"/>
    <x v="76"/>
    <s v="Storage Box Set"/>
    <x v="0"/>
    <x v="1"/>
    <x v="1"/>
    <n v="1"/>
    <n v="3200"/>
    <x v="1"/>
    <n v="3040"/>
    <x v="6"/>
  </r>
  <r>
    <s v="ORD0085"/>
    <s v="C0422"/>
    <x v="77"/>
    <s v="Running Shoes"/>
    <x v="3"/>
    <x v="0"/>
    <x v="0"/>
    <n v="2"/>
    <n v="9200"/>
    <x v="2"/>
    <n v="16560"/>
    <x v="7"/>
  </r>
  <r>
    <s v="ORD0086"/>
    <s v="C0361"/>
    <x v="78"/>
    <s v="Facial Cleanser"/>
    <x v="4"/>
    <x v="0"/>
    <x v="2"/>
    <n v="1"/>
    <n v="2800"/>
    <x v="0"/>
    <n v="2800"/>
    <x v="0"/>
  </r>
  <r>
    <s v="ORD0087"/>
    <s v="C0096"/>
    <x v="79"/>
    <s v="Fitness Band"/>
    <x v="3"/>
    <x v="1"/>
    <x v="0"/>
    <n v="1"/>
    <n v="4100"/>
    <x v="2"/>
    <n v="3690"/>
    <x v="13"/>
  </r>
  <r>
    <s v="ORD0088"/>
    <s v="C0406"/>
    <x v="80"/>
    <s v="Sneakers"/>
    <x v="1"/>
    <x v="0"/>
    <x v="0"/>
    <n v="1"/>
    <n v="8900"/>
    <x v="2"/>
    <n v="8010"/>
    <x v="5"/>
  </r>
  <r>
    <s v="ORD0089"/>
    <s v="C0255"/>
    <x v="81"/>
    <s v="Storage Box Set"/>
    <x v="0"/>
    <x v="0"/>
    <x v="2"/>
    <n v="1"/>
    <n v="3200"/>
    <x v="2"/>
    <n v="2880"/>
    <x v="13"/>
  </r>
  <r>
    <s v="ORD0090"/>
    <s v="C0205"/>
    <x v="82"/>
    <s v="USB-C Hub"/>
    <x v="2"/>
    <x v="1"/>
    <x v="1"/>
    <n v="1"/>
    <n v="4200"/>
    <x v="2"/>
    <n v="3780"/>
    <x v="6"/>
  </r>
  <r>
    <s v="ORD0091"/>
    <s v="C0067"/>
    <x v="70"/>
    <s v="Coffee Maker"/>
    <x v="0"/>
    <x v="1"/>
    <x v="1"/>
    <n v="1"/>
    <n v="7600"/>
    <x v="1"/>
    <n v="7220"/>
    <x v="1"/>
  </r>
  <r>
    <s v="ORD0092"/>
    <s v="C0407"/>
    <x v="10"/>
    <s v="USB-C Hub"/>
    <x v="2"/>
    <x v="0"/>
    <x v="0"/>
    <n v="1"/>
    <n v="4200"/>
    <x v="2"/>
    <n v="3780"/>
    <x v="10"/>
  </r>
  <r>
    <s v="ORD0093"/>
    <s v="C0477"/>
    <x v="83"/>
    <s v="Sports Bag"/>
    <x v="3"/>
    <x v="0"/>
    <x v="2"/>
    <n v="1"/>
    <n v="5600"/>
    <x v="1"/>
    <n v="5320"/>
    <x v="13"/>
  </r>
  <r>
    <s v="ORD0094"/>
    <s v="C0255"/>
    <x v="84"/>
    <s v="Jacket"/>
    <x v="1"/>
    <x v="0"/>
    <x v="0"/>
    <n v="3"/>
    <n v="11500"/>
    <x v="0"/>
    <n v="34500"/>
    <x v="9"/>
  </r>
  <r>
    <s v="ORD0095"/>
    <s v="C0490"/>
    <x v="49"/>
    <s v="Wireless Headphones"/>
    <x v="2"/>
    <x v="0"/>
    <x v="2"/>
    <n v="1"/>
    <n v="8500"/>
    <x v="3"/>
    <n v="7225"/>
    <x v="1"/>
  </r>
  <r>
    <s v="ORD0096"/>
    <s v="C0295"/>
    <x v="85"/>
    <s v="Facial Cleanser"/>
    <x v="4"/>
    <x v="0"/>
    <x v="2"/>
    <n v="1"/>
    <n v="2800"/>
    <x v="1"/>
    <n v="2660"/>
    <x v="4"/>
  </r>
  <r>
    <s v="ORD0097"/>
    <s v="C0263"/>
    <x v="50"/>
    <s v="Smart Watch"/>
    <x v="2"/>
    <x v="0"/>
    <x v="0"/>
    <n v="1"/>
    <n v="12800"/>
    <x v="1"/>
    <n v="12160"/>
    <x v="14"/>
  </r>
  <r>
    <s v="ORD0098"/>
    <s v="C0159"/>
    <x v="86"/>
    <s v="Hair Dryer"/>
    <x v="4"/>
    <x v="1"/>
    <x v="2"/>
    <n v="2"/>
    <n v="6800"/>
    <x v="0"/>
    <n v="13600"/>
    <x v="7"/>
  </r>
  <r>
    <s v="ORD0099"/>
    <s v="C0329"/>
    <x v="33"/>
    <s v="Smart Watch"/>
    <x v="2"/>
    <x v="0"/>
    <x v="2"/>
    <n v="1"/>
    <n v="12800"/>
    <x v="2"/>
    <n v="11520"/>
    <x v="3"/>
  </r>
  <r>
    <s v="ORD0100"/>
    <s v="C0332"/>
    <x v="39"/>
    <s v="USB-C Hub"/>
    <x v="2"/>
    <x v="0"/>
    <x v="0"/>
    <n v="1"/>
    <n v="4200"/>
    <x v="1"/>
    <n v="3990"/>
    <x v="0"/>
  </r>
  <r>
    <s v="ORD0101"/>
    <s v="C0126"/>
    <x v="22"/>
    <s v="Facial Cleanser"/>
    <x v="4"/>
    <x v="1"/>
    <x v="0"/>
    <n v="1"/>
    <n v="2800"/>
    <x v="3"/>
    <n v="2380"/>
    <x v="7"/>
  </r>
  <r>
    <s v="ORD0102"/>
    <s v="C0044"/>
    <x v="87"/>
    <s v="Wireless Headphones"/>
    <x v="2"/>
    <x v="1"/>
    <x v="0"/>
    <n v="2"/>
    <n v="8500"/>
    <x v="0"/>
    <n v="17000"/>
    <x v="11"/>
  </r>
  <r>
    <s v="ORD0103"/>
    <s v="C0040"/>
    <x v="88"/>
    <s v="Skincare Set"/>
    <x v="4"/>
    <x v="1"/>
    <x v="2"/>
    <n v="4"/>
    <n v="7200"/>
    <x v="2"/>
    <n v="25920"/>
    <x v="7"/>
  </r>
  <r>
    <s v="ORD0104"/>
    <s v="C0387"/>
    <x v="89"/>
    <s v="Table Lamp"/>
    <x v="0"/>
    <x v="0"/>
    <x v="1"/>
    <n v="2"/>
    <n v="5400"/>
    <x v="1"/>
    <n v="10260"/>
    <x v="4"/>
  </r>
  <r>
    <s v="ORD0105"/>
    <s v="C0091"/>
    <x v="90"/>
    <s v="Storage Box Set"/>
    <x v="0"/>
    <x v="1"/>
    <x v="0"/>
    <n v="1"/>
    <n v="3200"/>
    <x v="3"/>
    <n v="2720"/>
    <x v="13"/>
  </r>
  <r>
    <s v="ORD0106"/>
    <s v="C0407"/>
    <x v="91"/>
    <s v="Yoga Mat"/>
    <x v="3"/>
    <x v="0"/>
    <x v="1"/>
    <n v="1"/>
    <n v="3800"/>
    <x v="1"/>
    <n v="3610"/>
    <x v="3"/>
  </r>
  <r>
    <s v="ORD0107"/>
    <s v="C0262"/>
    <x v="61"/>
    <s v="Wireless Mouse"/>
    <x v="2"/>
    <x v="0"/>
    <x v="2"/>
    <n v="2"/>
    <n v="3500"/>
    <x v="0"/>
    <n v="7000"/>
    <x v="14"/>
  </r>
  <r>
    <s v="ORD0108"/>
    <s v="C0427"/>
    <x v="92"/>
    <s v="Air Fryer"/>
    <x v="0"/>
    <x v="0"/>
    <x v="1"/>
    <n v="4"/>
    <n v="9800"/>
    <x v="1"/>
    <n v="37240"/>
    <x v="4"/>
  </r>
  <r>
    <s v="ORD0109"/>
    <s v="C0295"/>
    <x v="87"/>
    <s v="Wireless Mouse"/>
    <x v="2"/>
    <x v="0"/>
    <x v="0"/>
    <n v="1"/>
    <n v="3500"/>
    <x v="2"/>
    <n v="3150"/>
    <x v="13"/>
  </r>
  <r>
    <s v="ORD0110"/>
    <s v="C0452"/>
    <x v="50"/>
    <s v="Bluetooth Speaker"/>
    <x v="2"/>
    <x v="0"/>
    <x v="0"/>
    <n v="1"/>
    <n v="6200"/>
    <x v="2"/>
    <n v="5580"/>
    <x v="14"/>
  </r>
  <r>
    <s v="ORD0111"/>
    <s v="C0157"/>
    <x v="93"/>
    <s v="Wireless Headphones"/>
    <x v="2"/>
    <x v="1"/>
    <x v="2"/>
    <n v="2"/>
    <n v="8500"/>
    <x v="3"/>
    <n v="14450"/>
    <x v="7"/>
  </r>
  <r>
    <s v="ORD0112"/>
    <s v="C0360"/>
    <x v="20"/>
    <s v="Coffee Maker"/>
    <x v="0"/>
    <x v="0"/>
    <x v="0"/>
    <n v="1"/>
    <n v="7600"/>
    <x v="1"/>
    <n v="7220"/>
    <x v="6"/>
  </r>
  <r>
    <s v="ORD0113"/>
    <s v="C0093"/>
    <x v="94"/>
    <s v="Wireless Headphones"/>
    <x v="2"/>
    <x v="1"/>
    <x v="0"/>
    <n v="1"/>
    <n v="8500"/>
    <x v="0"/>
    <n v="8500"/>
    <x v="3"/>
  </r>
  <r>
    <s v="ORD0114"/>
    <s v="C0347"/>
    <x v="95"/>
    <s v="Electric Kettle"/>
    <x v="0"/>
    <x v="0"/>
    <x v="0"/>
    <n v="2"/>
    <n v="4800"/>
    <x v="2"/>
    <n v="8640"/>
    <x v="10"/>
  </r>
  <r>
    <s v="ORD0115"/>
    <s v="C0326"/>
    <x v="50"/>
    <s v="Yoga Mat"/>
    <x v="3"/>
    <x v="0"/>
    <x v="0"/>
    <n v="4"/>
    <n v="3800"/>
    <x v="1"/>
    <n v="14440"/>
    <x v="5"/>
  </r>
  <r>
    <s v="ORD0116"/>
    <s v="C0289"/>
    <x v="50"/>
    <s v="Skincare Set"/>
    <x v="4"/>
    <x v="0"/>
    <x v="0"/>
    <n v="1"/>
    <n v="7200"/>
    <x v="1"/>
    <n v="6840"/>
    <x v="8"/>
  </r>
  <r>
    <s v="ORD0117"/>
    <s v="C0405"/>
    <x v="96"/>
    <s v="Hair Dryer"/>
    <x v="4"/>
    <x v="0"/>
    <x v="2"/>
    <n v="2"/>
    <n v="6800"/>
    <x v="3"/>
    <n v="11560"/>
    <x v="8"/>
  </r>
  <r>
    <s v="ORD0118"/>
    <s v="C0497"/>
    <x v="97"/>
    <s v="Fitness Band"/>
    <x v="3"/>
    <x v="0"/>
    <x v="2"/>
    <n v="2"/>
    <n v="4100"/>
    <x v="1"/>
    <n v="7790"/>
    <x v="1"/>
  </r>
  <r>
    <s v="ORD0119"/>
    <s v="C0270"/>
    <x v="89"/>
    <s v="Storage Box Set"/>
    <x v="0"/>
    <x v="0"/>
    <x v="2"/>
    <n v="1"/>
    <n v="3200"/>
    <x v="3"/>
    <n v="2720"/>
    <x v="14"/>
  </r>
  <r>
    <s v="ORD0120"/>
    <s v="C0248"/>
    <x v="98"/>
    <s v="Bluetooth Speaker"/>
    <x v="2"/>
    <x v="0"/>
    <x v="1"/>
    <n v="1"/>
    <n v="6200"/>
    <x v="1"/>
    <n v="5890"/>
    <x v="2"/>
  </r>
  <r>
    <s v="ORD0121"/>
    <s v="C0180"/>
    <x v="99"/>
    <s v="Wireless Headphones"/>
    <x v="2"/>
    <x v="1"/>
    <x v="0"/>
    <n v="2"/>
    <n v="8500"/>
    <x v="0"/>
    <n v="17000"/>
    <x v="10"/>
  </r>
  <r>
    <s v="ORD0122"/>
    <s v="C0475"/>
    <x v="100"/>
    <s v="Smart Watch"/>
    <x v="2"/>
    <x v="0"/>
    <x v="2"/>
    <n v="1"/>
    <n v="12800"/>
    <x v="2"/>
    <n v="11520"/>
    <x v="0"/>
  </r>
  <r>
    <s v="ORD0123"/>
    <s v="C0334"/>
    <x v="101"/>
    <s v="Bluetooth Speaker"/>
    <x v="2"/>
    <x v="0"/>
    <x v="2"/>
    <n v="3"/>
    <n v="6200"/>
    <x v="2"/>
    <n v="16740"/>
    <x v="12"/>
  </r>
  <r>
    <s v="ORD0124"/>
    <s v="C0318"/>
    <x v="82"/>
    <s v="Running Shoes"/>
    <x v="3"/>
    <x v="0"/>
    <x v="0"/>
    <n v="2"/>
    <n v="9200"/>
    <x v="3"/>
    <n v="15640"/>
    <x v="1"/>
  </r>
  <r>
    <s v="ORD0125"/>
    <s v="C0488"/>
    <x v="102"/>
    <s v="Smart Watch"/>
    <x v="2"/>
    <x v="0"/>
    <x v="1"/>
    <n v="2"/>
    <n v="12800"/>
    <x v="2"/>
    <n v="23040"/>
    <x v="6"/>
  </r>
  <r>
    <s v="ORD0126"/>
    <s v="C0161"/>
    <x v="103"/>
    <s v="Storage Box Set"/>
    <x v="0"/>
    <x v="1"/>
    <x v="2"/>
    <n v="1"/>
    <n v="3200"/>
    <x v="2"/>
    <n v="2880"/>
    <x v="6"/>
  </r>
  <r>
    <s v="ORD0127"/>
    <s v="C0111"/>
    <x v="71"/>
    <s v="Sneakers"/>
    <x v="1"/>
    <x v="1"/>
    <x v="0"/>
    <n v="1"/>
    <n v="8900"/>
    <x v="2"/>
    <n v="8010"/>
    <x v="3"/>
  </r>
  <r>
    <s v="ORD0128"/>
    <s v="C0405"/>
    <x v="104"/>
    <s v="T-Shirt"/>
    <x v="1"/>
    <x v="0"/>
    <x v="0"/>
    <n v="1"/>
    <n v="3200"/>
    <x v="2"/>
    <n v="2880"/>
    <x v="9"/>
  </r>
  <r>
    <s v="ORD0129"/>
    <s v="C0398"/>
    <x v="92"/>
    <s v="Jeans"/>
    <x v="1"/>
    <x v="0"/>
    <x v="0"/>
    <n v="2"/>
    <n v="7600"/>
    <x v="0"/>
    <n v="15200"/>
    <x v="9"/>
  </r>
  <r>
    <s v="ORD0130"/>
    <s v="C0325"/>
    <x v="92"/>
    <s v="Fitness Band"/>
    <x v="3"/>
    <x v="0"/>
    <x v="1"/>
    <n v="3"/>
    <n v="4100"/>
    <x v="1"/>
    <n v="11685"/>
    <x v="5"/>
  </r>
  <r>
    <s v="ORD0131"/>
    <s v="C0073"/>
    <x v="20"/>
    <s v="Smart Watch"/>
    <x v="2"/>
    <x v="1"/>
    <x v="1"/>
    <n v="3"/>
    <n v="12800"/>
    <x v="0"/>
    <n v="38400"/>
    <x v="2"/>
  </r>
  <r>
    <s v="ORD0132"/>
    <s v="C0254"/>
    <x v="36"/>
    <s v="Air Fryer"/>
    <x v="0"/>
    <x v="0"/>
    <x v="0"/>
    <n v="2"/>
    <n v="9800"/>
    <x v="1"/>
    <n v="18620"/>
    <x v="4"/>
  </r>
  <r>
    <s v="ORD0133"/>
    <s v="C0463"/>
    <x v="105"/>
    <s v="Electric Kettle"/>
    <x v="0"/>
    <x v="0"/>
    <x v="2"/>
    <n v="3"/>
    <n v="4800"/>
    <x v="0"/>
    <n v="14400"/>
    <x v="2"/>
  </r>
  <r>
    <s v="ORD0134"/>
    <s v="C0229"/>
    <x v="106"/>
    <s v="Air Fryer"/>
    <x v="0"/>
    <x v="0"/>
    <x v="0"/>
    <n v="2"/>
    <n v="9800"/>
    <x v="1"/>
    <n v="18620"/>
    <x v="9"/>
  </r>
  <r>
    <s v="ORD0135"/>
    <s v="C0159"/>
    <x v="94"/>
    <s v="Sports Bag"/>
    <x v="3"/>
    <x v="1"/>
    <x v="2"/>
    <n v="2"/>
    <n v="5600"/>
    <x v="3"/>
    <n v="9520"/>
    <x v="9"/>
  </r>
  <r>
    <s v="ORD0136"/>
    <s v="C0467"/>
    <x v="107"/>
    <s v="Hoodie"/>
    <x v="1"/>
    <x v="0"/>
    <x v="2"/>
    <n v="1"/>
    <n v="5900"/>
    <x v="0"/>
    <n v="5900"/>
    <x v="10"/>
  </r>
  <r>
    <s v="ORD0137"/>
    <s v="C0062"/>
    <x v="108"/>
    <s v="Fitness Band"/>
    <x v="3"/>
    <x v="1"/>
    <x v="2"/>
    <n v="1"/>
    <n v="4100"/>
    <x v="0"/>
    <n v="4100"/>
    <x v="5"/>
  </r>
  <r>
    <s v="ORD0138"/>
    <s v="C0447"/>
    <x v="98"/>
    <s v="Facial Cleanser"/>
    <x v="4"/>
    <x v="0"/>
    <x v="0"/>
    <n v="1"/>
    <n v="2800"/>
    <x v="3"/>
    <n v="2380"/>
    <x v="2"/>
  </r>
  <r>
    <s v="ORD0139"/>
    <s v="C0407"/>
    <x v="109"/>
    <s v="Sports Bag"/>
    <x v="3"/>
    <x v="0"/>
    <x v="1"/>
    <n v="2"/>
    <n v="5600"/>
    <x v="0"/>
    <n v="11200"/>
    <x v="2"/>
  </r>
  <r>
    <s v="ORD0140"/>
    <s v="C0455"/>
    <x v="110"/>
    <s v="Facial Cleanser"/>
    <x v="4"/>
    <x v="0"/>
    <x v="2"/>
    <n v="3"/>
    <n v="2800"/>
    <x v="1"/>
    <n v="7980"/>
    <x v="9"/>
  </r>
  <r>
    <s v="ORD0141"/>
    <s v="C0201"/>
    <x v="16"/>
    <s v="Jeans"/>
    <x v="1"/>
    <x v="1"/>
    <x v="2"/>
    <n v="1"/>
    <n v="7600"/>
    <x v="2"/>
    <n v="6840"/>
    <x v="12"/>
  </r>
  <r>
    <s v="ORD0142"/>
    <s v="C0387"/>
    <x v="55"/>
    <s v="Fitness Band"/>
    <x v="3"/>
    <x v="0"/>
    <x v="2"/>
    <n v="1"/>
    <n v="4100"/>
    <x v="0"/>
    <n v="4100"/>
    <x v="4"/>
  </r>
  <r>
    <s v="ORD0143"/>
    <s v="C0218"/>
    <x v="89"/>
    <s v="Table Lamp"/>
    <x v="0"/>
    <x v="0"/>
    <x v="2"/>
    <n v="2"/>
    <n v="5400"/>
    <x v="1"/>
    <n v="10260"/>
    <x v="6"/>
  </r>
  <r>
    <s v="ORD0144"/>
    <s v="C0051"/>
    <x v="111"/>
    <s v="Wireless Headphones"/>
    <x v="2"/>
    <x v="1"/>
    <x v="0"/>
    <n v="1"/>
    <n v="8500"/>
    <x v="3"/>
    <n v="7225"/>
    <x v="9"/>
  </r>
  <r>
    <s v="ORD0145"/>
    <s v="C0082"/>
    <x v="112"/>
    <s v="Storage Box Set"/>
    <x v="0"/>
    <x v="1"/>
    <x v="1"/>
    <n v="4"/>
    <n v="3200"/>
    <x v="0"/>
    <n v="12800"/>
    <x v="9"/>
  </r>
  <r>
    <s v="ORD0146"/>
    <s v="C0303"/>
    <x v="80"/>
    <s v="Yoga Mat"/>
    <x v="3"/>
    <x v="0"/>
    <x v="2"/>
    <n v="2"/>
    <n v="3800"/>
    <x v="2"/>
    <n v="6840"/>
    <x v="7"/>
  </r>
  <r>
    <s v="ORD0147"/>
    <s v="C0179"/>
    <x v="113"/>
    <s v="T-Shirt"/>
    <x v="1"/>
    <x v="1"/>
    <x v="0"/>
    <n v="1"/>
    <n v="3200"/>
    <x v="0"/>
    <n v="3200"/>
    <x v="5"/>
  </r>
  <r>
    <s v="ORD0148"/>
    <s v="C0368"/>
    <x v="114"/>
    <s v="Skincare Set"/>
    <x v="4"/>
    <x v="0"/>
    <x v="2"/>
    <n v="1"/>
    <n v="7200"/>
    <x v="0"/>
    <n v="7200"/>
    <x v="14"/>
  </r>
  <r>
    <s v="ORD0149"/>
    <s v="C0126"/>
    <x v="115"/>
    <s v="Smart Watch"/>
    <x v="2"/>
    <x v="1"/>
    <x v="0"/>
    <n v="1"/>
    <n v="12800"/>
    <x v="0"/>
    <n v="12800"/>
    <x v="14"/>
  </r>
  <r>
    <s v="ORD0150"/>
    <s v="C0425"/>
    <x v="61"/>
    <s v="Electric Kettle"/>
    <x v="0"/>
    <x v="0"/>
    <x v="0"/>
    <n v="2"/>
    <n v="4800"/>
    <x v="1"/>
    <n v="9120"/>
    <x v="8"/>
  </r>
  <r>
    <s v="ORD0151"/>
    <s v="C0294"/>
    <x v="116"/>
    <s v="Storage Box Set"/>
    <x v="0"/>
    <x v="0"/>
    <x v="2"/>
    <n v="3"/>
    <n v="3200"/>
    <x v="0"/>
    <n v="9600"/>
    <x v="0"/>
  </r>
  <r>
    <s v="ORD0152"/>
    <s v="C0210"/>
    <x v="117"/>
    <s v="Smart Watch"/>
    <x v="2"/>
    <x v="1"/>
    <x v="0"/>
    <n v="2"/>
    <n v="12800"/>
    <x v="1"/>
    <n v="24320"/>
    <x v="11"/>
  </r>
  <r>
    <s v="ORD0153"/>
    <s v="C0231"/>
    <x v="118"/>
    <s v="Coffee Maker"/>
    <x v="0"/>
    <x v="0"/>
    <x v="2"/>
    <n v="2"/>
    <n v="7600"/>
    <x v="2"/>
    <n v="13680"/>
    <x v="6"/>
  </r>
  <r>
    <s v="ORD0154"/>
    <s v="C0431"/>
    <x v="90"/>
    <s v="Smart Watch"/>
    <x v="2"/>
    <x v="0"/>
    <x v="2"/>
    <n v="1"/>
    <n v="12800"/>
    <x v="2"/>
    <n v="11520"/>
    <x v="4"/>
  </r>
  <r>
    <s v="ORD0155"/>
    <s v="C0367"/>
    <x v="119"/>
    <s v="Body Lotion"/>
    <x v="4"/>
    <x v="0"/>
    <x v="2"/>
    <n v="1"/>
    <n v="2400"/>
    <x v="1"/>
    <n v="2280"/>
    <x v="9"/>
  </r>
  <r>
    <s v="ORD0156"/>
    <s v="C0337"/>
    <x v="66"/>
    <s v="Sports Bag"/>
    <x v="3"/>
    <x v="0"/>
    <x v="1"/>
    <n v="2"/>
    <n v="5600"/>
    <x v="4"/>
    <n v="8960"/>
    <x v="4"/>
  </r>
  <r>
    <s v="ORD0157"/>
    <s v="C0191"/>
    <x v="67"/>
    <s v="Smart Watch"/>
    <x v="2"/>
    <x v="1"/>
    <x v="0"/>
    <n v="2"/>
    <n v="12800"/>
    <x v="2"/>
    <n v="23040"/>
    <x v="7"/>
  </r>
  <r>
    <s v="ORD0158"/>
    <s v="C0461"/>
    <x v="120"/>
    <s v="Smart Watch"/>
    <x v="2"/>
    <x v="0"/>
    <x v="2"/>
    <n v="1"/>
    <n v="12800"/>
    <x v="3"/>
    <n v="10880"/>
    <x v="9"/>
  </r>
  <r>
    <s v="ORD0159"/>
    <s v="C0414"/>
    <x v="54"/>
    <s v="Storage Box Set"/>
    <x v="0"/>
    <x v="0"/>
    <x v="1"/>
    <n v="1"/>
    <n v="3200"/>
    <x v="3"/>
    <n v="2720"/>
    <x v="14"/>
  </r>
  <r>
    <s v="ORD0160"/>
    <s v="C0065"/>
    <x v="121"/>
    <s v="Wireless Mouse"/>
    <x v="2"/>
    <x v="1"/>
    <x v="0"/>
    <n v="1"/>
    <n v="3500"/>
    <x v="2"/>
    <n v="3150"/>
    <x v="2"/>
  </r>
  <r>
    <s v="ORD0161"/>
    <s v="C0100"/>
    <x v="122"/>
    <s v="Smart Watch"/>
    <x v="2"/>
    <x v="1"/>
    <x v="0"/>
    <n v="2"/>
    <n v="12800"/>
    <x v="3"/>
    <n v="21760"/>
    <x v="9"/>
  </r>
  <r>
    <s v="ORD0162"/>
    <s v="C0403"/>
    <x v="11"/>
    <s v="Jeans"/>
    <x v="1"/>
    <x v="0"/>
    <x v="1"/>
    <n v="3"/>
    <n v="7600"/>
    <x v="3"/>
    <n v="19380"/>
    <x v="3"/>
  </r>
  <r>
    <s v="ORD0163"/>
    <s v="C0195"/>
    <x v="123"/>
    <s v="Sports Bag"/>
    <x v="3"/>
    <x v="1"/>
    <x v="0"/>
    <n v="2"/>
    <n v="5600"/>
    <x v="1"/>
    <n v="10640"/>
    <x v="13"/>
  </r>
  <r>
    <s v="ORD0164"/>
    <s v="C0374"/>
    <x v="124"/>
    <s v="Sports Bag"/>
    <x v="3"/>
    <x v="0"/>
    <x v="0"/>
    <n v="1"/>
    <n v="5600"/>
    <x v="4"/>
    <n v="4480"/>
    <x v="0"/>
  </r>
  <r>
    <s v="ORD0165"/>
    <s v="C0167"/>
    <x v="125"/>
    <s v="Jacket"/>
    <x v="1"/>
    <x v="1"/>
    <x v="2"/>
    <n v="4"/>
    <n v="11500"/>
    <x v="0"/>
    <n v="46000"/>
    <x v="11"/>
  </r>
  <r>
    <s v="ORD0166"/>
    <s v="C0351"/>
    <x v="107"/>
    <s v="Storage Box Set"/>
    <x v="0"/>
    <x v="0"/>
    <x v="1"/>
    <n v="3"/>
    <n v="3200"/>
    <x v="4"/>
    <n v="7680"/>
    <x v="9"/>
  </r>
  <r>
    <s v="ORD0167"/>
    <s v="C0131"/>
    <x v="126"/>
    <s v="Hair Dryer"/>
    <x v="4"/>
    <x v="1"/>
    <x v="0"/>
    <n v="2"/>
    <n v="6800"/>
    <x v="3"/>
    <n v="11560"/>
    <x v="8"/>
  </r>
  <r>
    <s v="ORD0168"/>
    <s v="C0249"/>
    <x v="127"/>
    <s v="Jacket"/>
    <x v="1"/>
    <x v="0"/>
    <x v="0"/>
    <n v="2"/>
    <n v="11500"/>
    <x v="1"/>
    <n v="21850"/>
    <x v="1"/>
  </r>
  <r>
    <s v="ORD0169"/>
    <s v="C0343"/>
    <x v="45"/>
    <s v="Wireless Headphones"/>
    <x v="2"/>
    <x v="0"/>
    <x v="1"/>
    <n v="1"/>
    <n v="8500"/>
    <x v="1"/>
    <n v="8075"/>
    <x v="7"/>
  </r>
  <r>
    <s v="ORD0170"/>
    <s v="C0069"/>
    <x v="120"/>
    <s v="Electric Kettle"/>
    <x v="0"/>
    <x v="1"/>
    <x v="2"/>
    <n v="2"/>
    <n v="4800"/>
    <x v="0"/>
    <n v="9600"/>
    <x v="4"/>
  </r>
  <r>
    <s v="ORD0171"/>
    <s v="C0410"/>
    <x v="128"/>
    <s v="Hoodie"/>
    <x v="1"/>
    <x v="0"/>
    <x v="2"/>
    <n v="1"/>
    <n v="5900"/>
    <x v="2"/>
    <n v="5310"/>
    <x v="2"/>
  </r>
  <r>
    <s v="ORD0172"/>
    <s v="C0453"/>
    <x v="129"/>
    <s v="Skincare Set"/>
    <x v="4"/>
    <x v="0"/>
    <x v="1"/>
    <n v="1"/>
    <n v="7200"/>
    <x v="1"/>
    <n v="6840"/>
    <x v="13"/>
  </r>
  <r>
    <s v="ORD0173"/>
    <s v="C0489"/>
    <x v="130"/>
    <s v="Facial Cleanser"/>
    <x v="4"/>
    <x v="0"/>
    <x v="0"/>
    <n v="1"/>
    <n v="2800"/>
    <x v="0"/>
    <n v="2800"/>
    <x v="0"/>
  </r>
  <r>
    <s v="ORD0174"/>
    <s v="C0147"/>
    <x v="16"/>
    <s v="Sports Bag"/>
    <x v="3"/>
    <x v="1"/>
    <x v="2"/>
    <n v="3"/>
    <n v="5600"/>
    <x v="0"/>
    <n v="16800"/>
    <x v="6"/>
  </r>
  <r>
    <s v="ORD0175"/>
    <s v="C0305"/>
    <x v="79"/>
    <s v="Sneakers"/>
    <x v="1"/>
    <x v="0"/>
    <x v="2"/>
    <n v="4"/>
    <n v="8900"/>
    <x v="2"/>
    <n v="32040"/>
    <x v="7"/>
  </r>
  <r>
    <s v="ORD0176"/>
    <s v="C0306"/>
    <x v="61"/>
    <s v="Running Shoes"/>
    <x v="3"/>
    <x v="0"/>
    <x v="0"/>
    <n v="1"/>
    <n v="9200"/>
    <x v="1"/>
    <n v="8740"/>
    <x v="8"/>
  </r>
  <r>
    <s v="ORD0177"/>
    <s v="C0125"/>
    <x v="61"/>
    <s v="Yoga Mat"/>
    <x v="3"/>
    <x v="1"/>
    <x v="0"/>
    <n v="1"/>
    <n v="3800"/>
    <x v="2"/>
    <n v="3420"/>
    <x v="2"/>
  </r>
  <r>
    <s v="ORD0178"/>
    <s v="C0170"/>
    <x v="131"/>
    <s v="Dumbbell Set"/>
    <x v="3"/>
    <x v="1"/>
    <x v="0"/>
    <n v="4"/>
    <n v="7400"/>
    <x v="0"/>
    <n v="29600"/>
    <x v="1"/>
  </r>
  <r>
    <s v="ORD0179"/>
    <s v="C0273"/>
    <x v="132"/>
    <s v="Coffee Maker"/>
    <x v="0"/>
    <x v="0"/>
    <x v="2"/>
    <n v="1"/>
    <n v="7600"/>
    <x v="1"/>
    <n v="7220"/>
    <x v="13"/>
  </r>
  <r>
    <s v="ORD0180"/>
    <s v="C0220"/>
    <x v="133"/>
    <s v="Coffee Maker"/>
    <x v="0"/>
    <x v="0"/>
    <x v="0"/>
    <n v="3"/>
    <n v="7600"/>
    <x v="2"/>
    <n v="20520"/>
    <x v="8"/>
  </r>
  <r>
    <s v="ORD0181"/>
    <s v="C0272"/>
    <x v="91"/>
    <s v="Hoodie"/>
    <x v="1"/>
    <x v="0"/>
    <x v="0"/>
    <n v="1"/>
    <n v="5900"/>
    <x v="2"/>
    <n v="5310"/>
    <x v="12"/>
  </r>
  <r>
    <s v="ORD0182"/>
    <s v="C0260"/>
    <x v="134"/>
    <s v="Bluetooth Speaker"/>
    <x v="2"/>
    <x v="0"/>
    <x v="0"/>
    <n v="4"/>
    <n v="6200"/>
    <x v="2"/>
    <n v="22320"/>
    <x v="3"/>
  </r>
  <r>
    <s v="ORD0183"/>
    <s v="C0180"/>
    <x v="20"/>
    <s v="USB-C Hub"/>
    <x v="2"/>
    <x v="1"/>
    <x v="0"/>
    <n v="1"/>
    <n v="4200"/>
    <x v="0"/>
    <n v="4200"/>
    <x v="8"/>
  </r>
  <r>
    <s v="ORD0184"/>
    <s v="C0163"/>
    <x v="135"/>
    <s v="Air Fryer"/>
    <x v="0"/>
    <x v="1"/>
    <x v="0"/>
    <n v="1"/>
    <n v="9800"/>
    <x v="0"/>
    <n v="9800"/>
    <x v="7"/>
  </r>
  <r>
    <s v="ORD0185"/>
    <s v="C0422"/>
    <x v="64"/>
    <s v="Wireless Mouse"/>
    <x v="2"/>
    <x v="0"/>
    <x v="2"/>
    <n v="2"/>
    <n v="3500"/>
    <x v="1"/>
    <n v="6650"/>
    <x v="8"/>
  </r>
  <r>
    <s v="ORD0186"/>
    <s v="C0288"/>
    <x v="76"/>
    <s v="Running Shoes"/>
    <x v="3"/>
    <x v="0"/>
    <x v="0"/>
    <n v="1"/>
    <n v="9200"/>
    <x v="0"/>
    <n v="9200"/>
    <x v="9"/>
  </r>
  <r>
    <s v="ORD0187"/>
    <s v="C0140"/>
    <x v="136"/>
    <s v="Electric Kettle"/>
    <x v="0"/>
    <x v="1"/>
    <x v="0"/>
    <n v="2"/>
    <n v="4800"/>
    <x v="2"/>
    <n v="8640"/>
    <x v="3"/>
  </r>
  <r>
    <s v="ORD0188"/>
    <s v="C0321"/>
    <x v="137"/>
    <s v="Skincare Set"/>
    <x v="4"/>
    <x v="0"/>
    <x v="2"/>
    <n v="4"/>
    <n v="7200"/>
    <x v="0"/>
    <n v="28800"/>
    <x v="12"/>
  </r>
  <r>
    <s v="ORD0189"/>
    <s v="C0301"/>
    <x v="138"/>
    <s v="Beauty Mirror"/>
    <x v="4"/>
    <x v="0"/>
    <x v="2"/>
    <n v="1"/>
    <n v="4500"/>
    <x v="0"/>
    <n v="4500"/>
    <x v="7"/>
  </r>
  <r>
    <s v="ORD0190"/>
    <s v="C0473"/>
    <x v="36"/>
    <s v="Wireless Mouse"/>
    <x v="2"/>
    <x v="0"/>
    <x v="1"/>
    <n v="1"/>
    <n v="3500"/>
    <x v="2"/>
    <n v="3150"/>
    <x v="7"/>
  </r>
  <r>
    <s v="ORD0191"/>
    <s v="C0086"/>
    <x v="30"/>
    <s v="Wireless Mouse"/>
    <x v="2"/>
    <x v="1"/>
    <x v="0"/>
    <n v="3"/>
    <n v="3500"/>
    <x v="0"/>
    <n v="10500"/>
    <x v="5"/>
  </r>
  <r>
    <s v="ORD0192"/>
    <s v="C0315"/>
    <x v="121"/>
    <s v="Fitness Band"/>
    <x v="3"/>
    <x v="0"/>
    <x v="0"/>
    <n v="1"/>
    <n v="4100"/>
    <x v="2"/>
    <n v="3690"/>
    <x v="5"/>
  </r>
  <r>
    <s v="ORD0193"/>
    <s v="C0217"/>
    <x v="14"/>
    <s v="Bluetooth Speaker"/>
    <x v="2"/>
    <x v="0"/>
    <x v="0"/>
    <n v="1"/>
    <n v="6200"/>
    <x v="0"/>
    <n v="6200"/>
    <x v="14"/>
  </r>
  <r>
    <s v="ORD0194"/>
    <s v="C0242"/>
    <x v="139"/>
    <s v="Facial Cleanser"/>
    <x v="4"/>
    <x v="0"/>
    <x v="2"/>
    <n v="1"/>
    <n v="2800"/>
    <x v="1"/>
    <n v="2660"/>
    <x v="5"/>
  </r>
  <r>
    <s v="ORD0195"/>
    <s v="C0296"/>
    <x v="140"/>
    <s v="Table Lamp"/>
    <x v="0"/>
    <x v="0"/>
    <x v="0"/>
    <n v="3"/>
    <n v="5400"/>
    <x v="2"/>
    <n v="14580"/>
    <x v="2"/>
  </r>
  <r>
    <s v="ORD0196"/>
    <s v="C0355"/>
    <x v="141"/>
    <s v="Sports Bag"/>
    <x v="3"/>
    <x v="0"/>
    <x v="0"/>
    <n v="1"/>
    <n v="5600"/>
    <x v="2"/>
    <n v="5040"/>
    <x v="12"/>
  </r>
  <r>
    <s v="ORD0197"/>
    <s v="C0447"/>
    <x v="142"/>
    <s v="Jeans"/>
    <x v="1"/>
    <x v="0"/>
    <x v="2"/>
    <n v="3"/>
    <n v="7600"/>
    <x v="4"/>
    <n v="18240"/>
    <x v="6"/>
  </r>
  <r>
    <s v="ORD0198"/>
    <s v="C0414"/>
    <x v="32"/>
    <s v="Jacket"/>
    <x v="1"/>
    <x v="0"/>
    <x v="0"/>
    <n v="1"/>
    <n v="11500"/>
    <x v="2"/>
    <n v="10350"/>
    <x v="7"/>
  </r>
  <r>
    <s v="ORD0199"/>
    <s v="C0378"/>
    <x v="88"/>
    <s v="Table Lamp"/>
    <x v="0"/>
    <x v="0"/>
    <x v="0"/>
    <n v="1"/>
    <n v="5400"/>
    <x v="3"/>
    <n v="4590"/>
    <x v="14"/>
  </r>
  <r>
    <s v="ORD0200"/>
    <s v="C0294"/>
    <x v="30"/>
    <s v="Wireless Mouse"/>
    <x v="2"/>
    <x v="0"/>
    <x v="2"/>
    <n v="1"/>
    <n v="3500"/>
    <x v="2"/>
    <n v="3150"/>
    <x v="9"/>
  </r>
  <r>
    <s v="ORD0201"/>
    <s v="C0250"/>
    <x v="139"/>
    <s v="USB-C Hub"/>
    <x v="2"/>
    <x v="0"/>
    <x v="2"/>
    <n v="3"/>
    <n v="4200"/>
    <x v="2"/>
    <n v="11340"/>
    <x v="3"/>
  </r>
  <r>
    <s v="ORD0202"/>
    <s v="C0481"/>
    <x v="14"/>
    <s v="Fitness Band"/>
    <x v="3"/>
    <x v="0"/>
    <x v="0"/>
    <n v="1"/>
    <n v="4100"/>
    <x v="1"/>
    <n v="3895"/>
    <x v="4"/>
  </r>
  <r>
    <s v="ORD0203"/>
    <s v="C0200"/>
    <x v="143"/>
    <s v="USB-C Hub"/>
    <x v="2"/>
    <x v="1"/>
    <x v="1"/>
    <n v="1"/>
    <n v="4200"/>
    <x v="0"/>
    <n v="4200"/>
    <x v="11"/>
  </r>
  <r>
    <s v="ORD0204"/>
    <s v="C0333"/>
    <x v="11"/>
    <s v="Wireless Headphones"/>
    <x v="2"/>
    <x v="0"/>
    <x v="0"/>
    <n v="1"/>
    <n v="8500"/>
    <x v="3"/>
    <n v="7225"/>
    <x v="11"/>
  </r>
  <r>
    <s v="ORD0205"/>
    <s v="C0082"/>
    <x v="144"/>
    <s v="Smart Watch"/>
    <x v="2"/>
    <x v="1"/>
    <x v="1"/>
    <n v="1"/>
    <n v="12800"/>
    <x v="2"/>
    <n v="11520"/>
    <x v="0"/>
  </r>
  <r>
    <s v="ORD0206"/>
    <s v="C0273"/>
    <x v="62"/>
    <s v="Air Fryer"/>
    <x v="0"/>
    <x v="0"/>
    <x v="2"/>
    <n v="1"/>
    <n v="9800"/>
    <x v="2"/>
    <n v="8820"/>
    <x v="0"/>
  </r>
  <r>
    <s v="ORD0207"/>
    <s v="C0340"/>
    <x v="97"/>
    <s v="Air Fryer"/>
    <x v="0"/>
    <x v="0"/>
    <x v="0"/>
    <n v="2"/>
    <n v="9800"/>
    <x v="0"/>
    <n v="19600"/>
    <x v="5"/>
  </r>
  <r>
    <s v="ORD0208"/>
    <s v="C0312"/>
    <x v="145"/>
    <s v="Jeans"/>
    <x v="1"/>
    <x v="0"/>
    <x v="0"/>
    <n v="2"/>
    <n v="7600"/>
    <x v="1"/>
    <n v="14440"/>
    <x v="10"/>
  </r>
  <r>
    <s v="ORD0209"/>
    <s v="C0363"/>
    <x v="146"/>
    <s v="Beauty Mirror"/>
    <x v="4"/>
    <x v="0"/>
    <x v="0"/>
    <n v="2"/>
    <n v="4500"/>
    <x v="1"/>
    <n v="8550"/>
    <x v="11"/>
  </r>
  <r>
    <s v="ORD0210"/>
    <s v="C0315"/>
    <x v="147"/>
    <s v="Fitness Band"/>
    <x v="3"/>
    <x v="0"/>
    <x v="1"/>
    <n v="1"/>
    <n v="4100"/>
    <x v="0"/>
    <n v="4100"/>
    <x v="4"/>
  </r>
  <r>
    <s v="ORD0211"/>
    <s v="C0070"/>
    <x v="148"/>
    <s v="Yoga Mat"/>
    <x v="3"/>
    <x v="1"/>
    <x v="2"/>
    <n v="1"/>
    <n v="3800"/>
    <x v="0"/>
    <n v="3800"/>
    <x v="10"/>
  </r>
  <r>
    <s v="ORD0212"/>
    <s v="C0415"/>
    <x v="127"/>
    <s v="Sneakers"/>
    <x v="1"/>
    <x v="0"/>
    <x v="0"/>
    <n v="1"/>
    <n v="8900"/>
    <x v="1"/>
    <n v="8455"/>
    <x v="13"/>
  </r>
  <r>
    <s v="ORD0213"/>
    <s v="C0488"/>
    <x v="14"/>
    <s v="Sports Bag"/>
    <x v="3"/>
    <x v="0"/>
    <x v="2"/>
    <n v="3"/>
    <n v="5600"/>
    <x v="2"/>
    <n v="15120"/>
    <x v="13"/>
  </r>
  <r>
    <s v="ORD0214"/>
    <s v="C0038"/>
    <x v="147"/>
    <s v="Wireless Mouse"/>
    <x v="2"/>
    <x v="1"/>
    <x v="0"/>
    <n v="2"/>
    <n v="3500"/>
    <x v="1"/>
    <n v="6650"/>
    <x v="0"/>
  </r>
  <r>
    <s v="ORD0215"/>
    <s v="C0021"/>
    <x v="133"/>
    <s v="Smart Watch"/>
    <x v="2"/>
    <x v="1"/>
    <x v="2"/>
    <n v="4"/>
    <n v="12800"/>
    <x v="2"/>
    <n v="46080"/>
    <x v="6"/>
  </r>
  <r>
    <s v="ORD0216"/>
    <s v="C0356"/>
    <x v="149"/>
    <s v="Electric Kettle"/>
    <x v="0"/>
    <x v="0"/>
    <x v="0"/>
    <n v="1"/>
    <n v="4800"/>
    <x v="0"/>
    <n v="4800"/>
    <x v="6"/>
  </r>
  <r>
    <s v="ORD0217"/>
    <s v="C0037"/>
    <x v="150"/>
    <s v="Coffee Maker"/>
    <x v="0"/>
    <x v="1"/>
    <x v="0"/>
    <n v="2"/>
    <n v="7600"/>
    <x v="3"/>
    <n v="12920"/>
    <x v="10"/>
  </r>
  <r>
    <s v="ORD0218"/>
    <s v="C0500"/>
    <x v="151"/>
    <s v="Facial Cleanser"/>
    <x v="4"/>
    <x v="0"/>
    <x v="2"/>
    <n v="3"/>
    <n v="2800"/>
    <x v="1"/>
    <n v="7980"/>
    <x v="4"/>
  </r>
  <r>
    <s v="ORD0219"/>
    <s v="C0336"/>
    <x v="152"/>
    <s v="Hair Dryer"/>
    <x v="4"/>
    <x v="0"/>
    <x v="0"/>
    <n v="1"/>
    <n v="6800"/>
    <x v="0"/>
    <n v="6800"/>
    <x v="6"/>
  </r>
  <r>
    <s v="ORD0220"/>
    <s v="C0088"/>
    <x v="46"/>
    <s v="Wireless Headphones"/>
    <x v="2"/>
    <x v="1"/>
    <x v="0"/>
    <n v="1"/>
    <n v="8500"/>
    <x v="1"/>
    <n v="8075"/>
    <x v="5"/>
  </r>
  <r>
    <s v="ORD0221"/>
    <s v="C0459"/>
    <x v="153"/>
    <s v="Wireless Mouse"/>
    <x v="2"/>
    <x v="0"/>
    <x v="1"/>
    <n v="1"/>
    <n v="3500"/>
    <x v="1"/>
    <n v="3325"/>
    <x v="13"/>
  </r>
  <r>
    <s v="ORD0222"/>
    <s v="C0451"/>
    <x v="154"/>
    <s v="Wireless Headphones"/>
    <x v="2"/>
    <x v="0"/>
    <x v="2"/>
    <n v="1"/>
    <n v="8500"/>
    <x v="2"/>
    <n v="7650"/>
    <x v="1"/>
  </r>
  <r>
    <s v="ORD0223"/>
    <s v="C0207"/>
    <x v="70"/>
    <s v="Storage Box Set"/>
    <x v="0"/>
    <x v="1"/>
    <x v="2"/>
    <n v="1"/>
    <n v="3200"/>
    <x v="2"/>
    <n v="2880"/>
    <x v="10"/>
  </r>
  <r>
    <s v="ORD0224"/>
    <s v="C0448"/>
    <x v="116"/>
    <s v="Dumbbell Set"/>
    <x v="3"/>
    <x v="0"/>
    <x v="0"/>
    <n v="3"/>
    <n v="7400"/>
    <x v="2"/>
    <n v="19980"/>
    <x v="2"/>
  </r>
  <r>
    <s v="ORD0225"/>
    <s v="C0489"/>
    <x v="155"/>
    <s v="Beauty Mirror"/>
    <x v="4"/>
    <x v="0"/>
    <x v="1"/>
    <n v="1"/>
    <n v="4500"/>
    <x v="1"/>
    <n v="4275"/>
    <x v="14"/>
  </r>
  <r>
    <s v="ORD0226"/>
    <s v="C0094"/>
    <x v="156"/>
    <s v="USB-C Hub"/>
    <x v="2"/>
    <x v="1"/>
    <x v="2"/>
    <n v="3"/>
    <n v="4200"/>
    <x v="2"/>
    <n v="11340"/>
    <x v="6"/>
  </r>
  <r>
    <s v="ORD0227"/>
    <s v="C0317"/>
    <x v="157"/>
    <s v="Hoodie"/>
    <x v="1"/>
    <x v="0"/>
    <x v="2"/>
    <n v="1"/>
    <n v="5900"/>
    <x v="1"/>
    <n v="5605"/>
    <x v="5"/>
  </r>
  <r>
    <s v="ORD0228"/>
    <s v="C0085"/>
    <x v="158"/>
    <s v="Skincare Set"/>
    <x v="4"/>
    <x v="1"/>
    <x v="2"/>
    <n v="1"/>
    <n v="7200"/>
    <x v="2"/>
    <n v="6480"/>
    <x v="13"/>
  </r>
  <r>
    <s v="ORD0229"/>
    <s v="C0135"/>
    <x v="158"/>
    <s v="Running Shoes"/>
    <x v="3"/>
    <x v="1"/>
    <x v="0"/>
    <n v="2"/>
    <n v="9200"/>
    <x v="1"/>
    <n v="17480"/>
    <x v="12"/>
  </r>
  <r>
    <s v="ORD0230"/>
    <s v="C0133"/>
    <x v="108"/>
    <s v="Coffee Maker"/>
    <x v="0"/>
    <x v="1"/>
    <x v="0"/>
    <n v="1"/>
    <n v="7600"/>
    <x v="0"/>
    <n v="7600"/>
    <x v="12"/>
  </r>
  <r>
    <s v="ORD0231"/>
    <s v="C0496"/>
    <x v="107"/>
    <s v="Table Lamp"/>
    <x v="0"/>
    <x v="0"/>
    <x v="1"/>
    <n v="1"/>
    <n v="5400"/>
    <x v="1"/>
    <n v="5130"/>
    <x v="8"/>
  </r>
  <r>
    <s v="ORD0232"/>
    <s v="C0244"/>
    <x v="58"/>
    <s v="Running Shoes"/>
    <x v="3"/>
    <x v="0"/>
    <x v="2"/>
    <n v="1"/>
    <n v="9200"/>
    <x v="0"/>
    <n v="9200"/>
    <x v="9"/>
  </r>
  <r>
    <s v="ORD0233"/>
    <s v="C0335"/>
    <x v="27"/>
    <s v="Wireless Headphones"/>
    <x v="2"/>
    <x v="0"/>
    <x v="2"/>
    <n v="2"/>
    <n v="8500"/>
    <x v="0"/>
    <n v="17000"/>
    <x v="13"/>
  </r>
  <r>
    <s v="ORD0234"/>
    <s v="C0045"/>
    <x v="159"/>
    <s v="Wireless Mouse"/>
    <x v="2"/>
    <x v="1"/>
    <x v="2"/>
    <n v="1"/>
    <n v="3500"/>
    <x v="2"/>
    <n v="3150"/>
    <x v="14"/>
  </r>
  <r>
    <s v="ORD0235"/>
    <s v="C0054"/>
    <x v="128"/>
    <s v="Wireless Mouse"/>
    <x v="2"/>
    <x v="1"/>
    <x v="1"/>
    <n v="1"/>
    <n v="3500"/>
    <x v="0"/>
    <n v="3500"/>
    <x v="7"/>
  </r>
  <r>
    <s v="ORD0236"/>
    <s v="C0450"/>
    <x v="150"/>
    <s v="Beauty Mirror"/>
    <x v="4"/>
    <x v="0"/>
    <x v="0"/>
    <n v="3"/>
    <n v="4500"/>
    <x v="1"/>
    <n v="12825"/>
    <x v="10"/>
  </r>
  <r>
    <s v="ORD0237"/>
    <s v="C0189"/>
    <x v="106"/>
    <s v="USB-C Hub"/>
    <x v="2"/>
    <x v="1"/>
    <x v="1"/>
    <n v="2"/>
    <n v="4200"/>
    <x v="2"/>
    <n v="7560"/>
    <x v="6"/>
  </r>
  <r>
    <s v="ORD0238"/>
    <s v="C0135"/>
    <x v="39"/>
    <s v="USB-C Hub"/>
    <x v="2"/>
    <x v="1"/>
    <x v="0"/>
    <n v="1"/>
    <n v="4200"/>
    <x v="2"/>
    <n v="3780"/>
    <x v="12"/>
  </r>
  <r>
    <s v="ORD0239"/>
    <s v="C0138"/>
    <x v="160"/>
    <s v="Yoga Mat"/>
    <x v="3"/>
    <x v="1"/>
    <x v="0"/>
    <n v="1"/>
    <n v="3800"/>
    <x v="1"/>
    <n v="3610"/>
    <x v="0"/>
  </r>
  <r>
    <s v="ORD0240"/>
    <s v="C0191"/>
    <x v="161"/>
    <s v="Storage Box Set"/>
    <x v="0"/>
    <x v="1"/>
    <x v="2"/>
    <n v="1"/>
    <n v="3200"/>
    <x v="2"/>
    <n v="2880"/>
    <x v="14"/>
  </r>
  <r>
    <s v="ORD0241"/>
    <s v="C0251"/>
    <x v="49"/>
    <s v="Wireless Mouse"/>
    <x v="2"/>
    <x v="0"/>
    <x v="2"/>
    <n v="1"/>
    <n v="3500"/>
    <x v="2"/>
    <n v="3150"/>
    <x v="10"/>
  </r>
  <r>
    <s v="ORD0242"/>
    <s v="C0145"/>
    <x v="150"/>
    <s v="Beauty Mirror"/>
    <x v="4"/>
    <x v="1"/>
    <x v="1"/>
    <n v="1"/>
    <n v="4500"/>
    <x v="1"/>
    <n v="4275"/>
    <x v="10"/>
  </r>
  <r>
    <s v="ORD0243"/>
    <s v="C0163"/>
    <x v="80"/>
    <s v="Wireless Mouse"/>
    <x v="2"/>
    <x v="1"/>
    <x v="0"/>
    <n v="1"/>
    <n v="3500"/>
    <x v="0"/>
    <n v="3500"/>
    <x v="9"/>
  </r>
  <r>
    <s v="ORD0244"/>
    <s v="C0078"/>
    <x v="162"/>
    <s v="Skincare Set"/>
    <x v="4"/>
    <x v="1"/>
    <x v="0"/>
    <n v="2"/>
    <n v="7200"/>
    <x v="1"/>
    <n v="13680"/>
    <x v="6"/>
  </r>
  <r>
    <s v="ORD0245"/>
    <s v="C0494"/>
    <x v="14"/>
    <s v="Dumbbell Set"/>
    <x v="3"/>
    <x v="0"/>
    <x v="2"/>
    <n v="2"/>
    <n v="7400"/>
    <x v="0"/>
    <n v="14800"/>
    <x v="8"/>
  </r>
  <r>
    <s v="ORD0246"/>
    <s v="C0350"/>
    <x v="147"/>
    <s v="Wireless Mouse"/>
    <x v="2"/>
    <x v="0"/>
    <x v="2"/>
    <n v="3"/>
    <n v="3500"/>
    <x v="1"/>
    <n v="9975"/>
    <x v="9"/>
  </r>
  <r>
    <s v="ORD0247"/>
    <s v="C0143"/>
    <x v="51"/>
    <s v="Wireless Mouse"/>
    <x v="2"/>
    <x v="1"/>
    <x v="1"/>
    <n v="4"/>
    <n v="3500"/>
    <x v="1"/>
    <n v="13300"/>
    <x v="8"/>
  </r>
  <r>
    <s v="ORD0248"/>
    <s v="C0463"/>
    <x v="156"/>
    <s v="Coffee Maker"/>
    <x v="0"/>
    <x v="0"/>
    <x v="1"/>
    <n v="1"/>
    <n v="7600"/>
    <x v="2"/>
    <n v="6840"/>
    <x v="11"/>
  </r>
  <r>
    <s v="ORD0249"/>
    <s v="C0200"/>
    <x v="9"/>
    <s v="Air Fryer"/>
    <x v="0"/>
    <x v="1"/>
    <x v="0"/>
    <n v="2"/>
    <n v="9800"/>
    <x v="1"/>
    <n v="18620"/>
    <x v="6"/>
  </r>
  <r>
    <s v="ORD0250"/>
    <s v="C0142"/>
    <x v="141"/>
    <s v="T-Shirt"/>
    <x v="1"/>
    <x v="1"/>
    <x v="0"/>
    <n v="2"/>
    <n v="3200"/>
    <x v="0"/>
    <n v="6400"/>
    <x v="13"/>
  </r>
  <r>
    <s v="ORD0251"/>
    <s v="C0354"/>
    <x v="58"/>
    <s v="Hair Dryer"/>
    <x v="4"/>
    <x v="0"/>
    <x v="0"/>
    <n v="1"/>
    <n v="6800"/>
    <x v="2"/>
    <n v="6120"/>
    <x v="8"/>
  </r>
  <r>
    <s v="ORD0252"/>
    <s v="C0166"/>
    <x v="84"/>
    <s v="Bluetooth Speaker"/>
    <x v="2"/>
    <x v="1"/>
    <x v="0"/>
    <n v="1"/>
    <n v="6200"/>
    <x v="2"/>
    <n v="5580"/>
    <x v="14"/>
  </r>
  <r>
    <s v="ORD0253"/>
    <s v="C0288"/>
    <x v="86"/>
    <s v="Running Shoes"/>
    <x v="3"/>
    <x v="0"/>
    <x v="2"/>
    <n v="2"/>
    <n v="9200"/>
    <x v="2"/>
    <n v="16560"/>
    <x v="14"/>
  </r>
  <r>
    <s v="ORD0254"/>
    <s v="C0249"/>
    <x v="73"/>
    <s v="Air Fryer"/>
    <x v="0"/>
    <x v="0"/>
    <x v="0"/>
    <n v="2"/>
    <n v="9800"/>
    <x v="2"/>
    <n v="17640"/>
    <x v="11"/>
  </r>
  <r>
    <s v="ORD0255"/>
    <s v="C0410"/>
    <x v="51"/>
    <s v="T-Shirt"/>
    <x v="1"/>
    <x v="0"/>
    <x v="2"/>
    <n v="1"/>
    <n v="3200"/>
    <x v="1"/>
    <n v="3040"/>
    <x v="3"/>
  </r>
  <r>
    <s v="ORD0256"/>
    <s v="C0342"/>
    <x v="12"/>
    <s v="Facial Cleanser"/>
    <x v="4"/>
    <x v="0"/>
    <x v="0"/>
    <n v="3"/>
    <n v="2800"/>
    <x v="4"/>
    <n v="6720"/>
    <x v="9"/>
  </r>
  <r>
    <s v="ORD0257"/>
    <s v="C0338"/>
    <x v="163"/>
    <s v="Bluetooth Speaker"/>
    <x v="2"/>
    <x v="0"/>
    <x v="0"/>
    <n v="2"/>
    <n v="6200"/>
    <x v="2"/>
    <n v="11160"/>
    <x v="6"/>
  </r>
  <r>
    <s v="ORD0258"/>
    <s v="C0378"/>
    <x v="142"/>
    <s v="Body Lotion"/>
    <x v="4"/>
    <x v="0"/>
    <x v="0"/>
    <n v="1"/>
    <n v="2400"/>
    <x v="2"/>
    <n v="2160"/>
    <x v="5"/>
  </r>
  <r>
    <s v="ORD0259"/>
    <s v="C0311"/>
    <x v="164"/>
    <s v="Bluetooth Speaker"/>
    <x v="2"/>
    <x v="0"/>
    <x v="2"/>
    <n v="4"/>
    <n v="6200"/>
    <x v="2"/>
    <n v="22320"/>
    <x v="3"/>
  </r>
  <r>
    <s v="ORD0260"/>
    <s v="C0293"/>
    <x v="54"/>
    <s v="Storage Box Set"/>
    <x v="0"/>
    <x v="0"/>
    <x v="0"/>
    <n v="2"/>
    <n v="3200"/>
    <x v="1"/>
    <n v="6080"/>
    <x v="13"/>
  </r>
  <r>
    <s v="ORD0261"/>
    <s v="C0450"/>
    <x v="165"/>
    <s v="Body Lotion"/>
    <x v="4"/>
    <x v="0"/>
    <x v="0"/>
    <n v="1"/>
    <n v="2400"/>
    <x v="2"/>
    <n v="2160"/>
    <x v="13"/>
  </r>
  <r>
    <s v="ORD0262"/>
    <s v="C0329"/>
    <x v="166"/>
    <s v="T-Shirt"/>
    <x v="1"/>
    <x v="0"/>
    <x v="1"/>
    <n v="4"/>
    <n v="3200"/>
    <x v="0"/>
    <n v="12800"/>
    <x v="2"/>
  </r>
  <r>
    <s v="ORD0263"/>
    <s v="C0335"/>
    <x v="146"/>
    <s v="Jacket"/>
    <x v="1"/>
    <x v="0"/>
    <x v="2"/>
    <n v="4"/>
    <n v="11500"/>
    <x v="1"/>
    <n v="43700"/>
    <x v="10"/>
  </r>
  <r>
    <s v="ORD0264"/>
    <s v="C0214"/>
    <x v="108"/>
    <s v="Sneakers"/>
    <x v="1"/>
    <x v="0"/>
    <x v="2"/>
    <n v="1"/>
    <n v="8900"/>
    <x v="1"/>
    <n v="8455"/>
    <x v="14"/>
  </r>
  <r>
    <s v="ORD0265"/>
    <s v="C0446"/>
    <x v="62"/>
    <s v="Hair Dryer"/>
    <x v="4"/>
    <x v="0"/>
    <x v="2"/>
    <n v="1"/>
    <n v="6800"/>
    <x v="3"/>
    <n v="5780"/>
    <x v="5"/>
  </r>
  <r>
    <s v="ORD0266"/>
    <s v="C0197"/>
    <x v="151"/>
    <s v="Smart Watch"/>
    <x v="2"/>
    <x v="1"/>
    <x v="0"/>
    <n v="4"/>
    <n v="12800"/>
    <x v="0"/>
    <n v="51200"/>
    <x v="11"/>
  </r>
  <r>
    <s v="ORD0267"/>
    <s v="C0332"/>
    <x v="160"/>
    <s v="Running Shoes"/>
    <x v="3"/>
    <x v="0"/>
    <x v="0"/>
    <n v="1"/>
    <n v="9200"/>
    <x v="2"/>
    <n v="8280"/>
    <x v="10"/>
  </r>
  <r>
    <s v="ORD0268"/>
    <s v="C0422"/>
    <x v="167"/>
    <s v="Skincare Set"/>
    <x v="4"/>
    <x v="0"/>
    <x v="2"/>
    <n v="1"/>
    <n v="7200"/>
    <x v="3"/>
    <n v="6120"/>
    <x v="0"/>
  </r>
  <r>
    <s v="ORD0269"/>
    <s v="C0014"/>
    <x v="60"/>
    <s v="Dumbbell Set"/>
    <x v="3"/>
    <x v="1"/>
    <x v="1"/>
    <n v="1"/>
    <n v="7400"/>
    <x v="0"/>
    <n v="7400"/>
    <x v="5"/>
  </r>
  <r>
    <s v="ORD0270"/>
    <s v="C0432"/>
    <x v="11"/>
    <s v="Hair Dryer"/>
    <x v="4"/>
    <x v="0"/>
    <x v="0"/>
    <n v="3"/>
    <n v="6800"/>
    <x v="2"/>
    <n v="18360"/>
    <x v="9"/>
  </r>
  <r>
    <s v="ORD0271"/>
    <s v="C0412"/>
    <x v="168"/>
    <s v="Storage Box Set"/>
    <x v="0"/>
    <x v="0"/>
    <x v="0"/>
    <n v="1"/>
    <n v="3200"/>
    <x v="1"/>
    <n v="3040"/>
    <x v="14"/>
  </r>
  <r>
    <s v="ORD0272"/>
    <s v="C0337"/>
    <x v="169"/>
    <s v="Hair Dryer"/>
    <x v="4"/>
    <x v="0"/>
    <x v="2"/>
    <n v="1"/>
    <n v="6800"/>
    <x v="4"/>
    <n v="5440"/>
    <x v="2"/>
  </r>
  <r>
    <s v="ORD0273"/>
    <s v="C0364"/>
    <x v="170"/>
    <s v="Yoga Mat"/>
    <x v="3"/>
    <x v="0"/>
    <x v="2"/>
    <n v="2"/>
    <n v="3800"/>
    <x v="0"/>
    <n v="7600"/>
    <x v="8"/>
  </r>
  <r>
    <s v="ORD0274"/>
    <s v="C0391"/>
    <x v="171"/>
    <s v="Hair Dryer"/>
    <x v="4"/>
    <x v="0"/>
    <x v="2"/>
    <n v="1"/>
    <n v="6800"/>
    <x v="1"/>
    <n v="6460"/>
    <x v="11"/>
  </r>
  <r>
    <s v="ORD0275"/>
    <s v="C0352"/>
    <x v="19"/>
    <s v="Smart Watch"/>
    <x v="2"/>
    <x v="0"/>
    <x v="0"/>
    <n v="3"/>
    <n v="12800"/>
    <x v="4"/>
    <n v="30720"/>
    <x v="5"/>
  </r>
  <r>
    <s v="ORD0276"/>
    <s v="C0444"/>
    <x v="70"/>
    <s v="Bluetooth Speaker"/>
    <x v="2"/>
    <x v="0"/>
    <x v="2"/>
    <n v="1"/>
    <n v="6200"/>
    <x v="3"/>
    <n v="5270"/>
    <x v="13"/>
  </r>
  <r>
    <s v="ORD0277"/>
    <s v="C0249"/>
    <x v="101"/>
    <s v="Bluetooth Speaker"/>
    <x v="2"/>
    <x v="0"/>
    <x v="2"/>
    <n v="1"/>
    <n v="6200"/>
    <x v="0"/>
    <n v="6200"/>
    <x v="5"/>
  </r>
  <r>
    <s v="ORD0278"/>
    <s v="C0402"/>
    <x v="92"/>
    <s v="Running Shoes"/>
    <x v="3"/>
    <x v="0"/>
    <x v="0"/>
    <n v="2"/>
    <n v="9200"/>
    <x v="2"/>
    <n v="16560"/>
    <x v="9"/>
  </r>
  <r>
    <s v="ORD0279"/>
    <s v="C0090"/>
    <x v="137"/>
    <s v="Jacket"/>
    <x v="1"/>
    <x v="1"/>
    <x v="2"/>
    <n v="1"/>
    <n v="11500"/>
    <x v="2"/>
    <n v="10350"/>
    <x v="0"/>
  </r>
  <r>
    <s v="ORD0280"/>
    <s v="C0436"/>
    <x v="124"/>
    <s v="Body Lotion"/>
    <x v="4"/>
    <x v="0"/>
    <x v="2"/>
    <n v="1"/>
    <n v="2400"/>
    <x v="2"/>
    <n v="2160"/>
    <x v="13"/>
  </r>
  <r>
    <s v="ORD0281"/>
    <s v="C0332"/>
    <x v="172"/>
    <s v="Skincare Set"/>
    <x v="4"/>
    <x v="0"/>
    <x v="0"/>
    <n v="1"/>
    <n v="7200"/>
    <x v="1"/>
    <n v="6840"/>
    <x v="1"/>
  </r>
  <r>
    <s v="ORD0282"/>
    <s v="C0455"/>
    <x v="173"/>
    <s v="Sneakers"/>
    <x v="1"/>
    <x v="0"/>
    <x v="0"/>
    <n v="2"/>
    <n v="8900"/>
    <x v="3"/>
    <n v="15130"/>
    <x v="13"/>
  </r>
  <r>
    <s v="ORD0283"/>
    <s v="C0297"/>
    <x v="170"/>
    <s v="Table Lamp"/>
    <x v="0"/>
    <x v="0"/>
    <x v="1"/>
    <n v="1"/>
    <n v="5400"/>
    <x v="1"/>
    <n v="5130"/>
    <x v="14"/>
  </r>
  <r>
    <s v="ORD0284"/>
    <s v="C0135"/>
    <x v="174"/>
    <s v="Facial Cleanser"/>
    <x v="4"/>
    <x v="1"/>
    <x v="0"/>
    <n v="1"/>
    <n v="2800"/>
    <x v="1"/>
    <n v="2660"/>
    <x v="11"/>
  </r>
  <r>
    <s v="ORD0285"/>
    <s v="C0064"/>
    <x v="175"/>
    <s v="Table Lamp"/>
    <x v="0"/>
    <x v="1"/>
    <x v="2"/>
    <n v="3"/>
    <n v="5400"/>
    <x v="1"/>
    <n v="15390"/>
    <x v="6"/>
  </r>
  <r>
    <s v="ORD0286"/>
    <s v="C0143"/>
    <x v="153"/>
    <s v="Fitness Band"/>
    <x v="3"/>
    <x v="1"/>
    <x v="0"/>
    <n v="1"/>
    <n v="4100"/>
    <x v="1"/>
    <n v="3895"/>
    <x v="6"/>
  </r>
  <r>
    <s v="ORD0287"/>
    <s v="C0344"/>
    <x v="176"/>
    <s v="Storage Box Set"/>
    <x v="0"/>
    <x v="0"/>
    <x v="2"/>
    <n v="3"/>
    <n v="3200"/>
    <x v="0"/>
    <n v="9600"/>
    <x v="4"/>
  </r>
  <r>
    <s v="ORD0288"/>
    <s v="C0491"/>
    <x v="74"/>
    <s v="Jeans"/>
    <x v="1"/>
    <x v="0"/>
    <x v="2"/>
    <n v="2"/>
    <n v="7600"/>
    <x v="0"/>
    <n v="15200"/>
    <x v="1"/>
  </r>
  <r>
    <s v="ORD0289"/>
    <s v="C0482"/>
    <x v="131"/>
    <s v="Dumbbell Set"/>
    <x v="3"/>
    <x v="0"/>
    <x v="2"/>
    <n v="1"/>
    <n v="7400"/>
    <x v="2"/>
    <n v="6660"/>
    <x v="6"/>
  </r>
  <r>
    <s v="ORD0290"/>
    <s v="C0107"/>
    <x v="120"/>
    <s v="Jeans"/>
    <x v="1"/>
    <x v="1"/>
    <x v="2"/>
    <n v="1"/>
    <n v="7600"/>
    <x v="0"/>
    <n v="7600"/>
    <x v="2"/>
  </r>
  <r>
    <s v="ORD0291"/>
    <s v="C0267"/>
    <x v="132"/>
    <s v="Electric Kettle"/>
    <x v="0"/>
    <x v="0"/>
    <x v="0"/>
    <n v="3"/>
    <n v="4800"/>
    <x v="2"/>
    <n v="12960"/>
    <x v="10"/>
  </r>
  <r>
    <s v="ORD0292"/>
    <s v="C0384"/>
    <x v="177"/>
    <s v="Beauty Mirror"/>
    <x v="4"/>
    <x v="0"/>
    <x v="2"/>
    <n v="2"/>
    <n v="4500"/>
    <x v="0"/>
    <n v="9000"/>
    <x v="9"/>
  </r>
  <r>
    <s v="ORD0293"/>
    <s v="C0205"/>
    <x v="178"/>
    <s v="Wireless Mouse"/>
    <x v="2"/>
    <x v="1"/>
    <x v="0"/>
    <n v="1"/>
    <n v="3500"/>
    <x v="1"/>
    <n v="3325"/>
    <x v="5"/>
  </r>
  <r>
    <s v="ORD0294"/>
    <s v="C0420"/>
    <x v="80"/>
    <s v="Running Shoes"/>
    <x v="3"/>
    <x v="0"/>
    <x v="0"/>
    <n v="1"/>
    <n v="9200"/>
    <x v="0"/>
    <n v="9200"/>
    <x v="12"/>
  </r>
  <r>
    <s v="ORD0295"/>
    <s v="C0089"/>
    <x v="33"/>
    <s v="Storage Box Set"/>
    <x v="0"/>
    <x v="1"/>
    <x v="0"/>
    <n v="3"/>
    <n v="3200"/>
    <x v="4"/>
    <n v="7680"/>
    <x v="6"/>
  </r>
  <r>
    <s v="ORD0296"/>
    <s v="C0355"/>
    <x v="130"/>
    <s v="Running Shoes"/>
    <x v="3"/>
    <x v="0"/>
    <x v="1"/>
    <n v="1"/>
    <n v="9200"/>
    <x v="3"/>
    <n v="7820"/>
    <x v="8"/>
  </r>
  <r>
    <s v="ORD0297"/>
    <s v="C0125"/>
    <x v="179"/>
    <s v="Sneakers"/>
    <x v="1"/>
    <x v="1"/>
    <x v="0"/>
    <n v="1"/>
    <n v="8900"/>
    <x v="3"/>
    <n v="7565"/>
    <x v="10"/>
  </r>
  <r>
    <s v="ORD0298"/>
    <s v="C0076"/>
    <x v="180"/>
    <s v="Storage Box Set"/>
    <x v="0"/>
    <x v="1"/>
    <x v="1"/>
    <n v="1"/>
    <n v="3200"/>
    <x v="2"/>
    <n v="2880"/>
    <x v="5"/>
  </r>
  <r>
    <s v="ORD0299"/>
    <s v="C0442"/>
    <x v="181"/>
    <s v="T-Shirt"/>
    <x v="1"/>
    <x v="0"/>
    <x v="1"/>
    <n v="1"/>
    <n v="3200"/>
    <x v="3"/>
    <n v="2720"/>
    <x v="10"/>
  </r>
  <r>
    <s v="ORD0300"/>
    <s v="C0468"/>
    <x v="141"/>
    <s v="Sports Bag"/>
    <x v="3"/>
    <x v="0"/>
    <x v="0"/>
    <n v="2"/>
    <n v="5600"/>
    <x v="2"/>
    <n v="10080"/>
    <x v="12"/>
  </r>
  <r>
    <s v="ORD0301"/>
    <s v="C0389"/>
    <x v="182"/>
    <s v="USB-C Hub"/>
    <x v="2"/>
    <x v="0"/>
    <x v="2"/>
    <n v="1"/>
    <n v="4200"/>
    <x v="1"/>
    <n v="3990"/>
    <x v="11"/>
  </r>
  <r>
    <s v="ORD0302"/>
    <s v="C0128"/>
    <x v="154"/>
    <s v="Table Lamp"/>
    <x v="0"/>
    <x v="1"/>
    <x v="0"/>
    <n v="4"/>
    <n v="5400"/>
    <x v="3"/>
    <n v="18360"/>
    <x v="11"/>
  </r>
  <r>
    <s v="ORD0303"/>
    <s v="C0030"/>
    <x v="155"/>
    <s v="Electric Kettle"/>
    <x v="0"/>
    <x v="1"/>
    <x v="1"/>
    <n v="1"/>
    <n v="4800"/>
    <x v="1"/>
    <n v="4560"/>
    <x v="5"/>
  </r>
  <r>
    <s v="ORD0304"/>
    <s v="C0060"/>
    <x v="183"/>
    <s v="USB-C Hub"/>
    <x v="2"/>
    <x v="1"/>
    <x v="2"/>
    <n v="2"/>
    <n v="4200"/>
    <x v="0"/>
    <n v="8400"/>
    <x v="0"/>
  </r>
  <r>
    <s v="ORD0305"/>
    <s v="C0110"/>
    <x v="184"/>
    <s v="Hair Dryer"/>
    <x v="4"/>
    <x v="1"/>
    <x v="0"/>
    <n v="1"/>
    <n v="6800"/>
    <x v="2"/>
    <n v="6120"/>
    <x v="13"/>
  </r>
  <r>
    <s v="ORD0306"/>
    <s v="C0192"/>
    <x v="48"/>
    <s v="Hair Dryer"/>
    <x v="4"/>
    <x v="1"/>
    <x v="2"/>
    <n v="1"/>
    <n v="6800"/>
    <x v="0"/>
    <n v="6800"/>
    <x v="1"/>
  </r>
  <r>
    <s v="ORD0307"/>
    <s v="C0071"/>
    <x v="185"/>
    <s v="Storage Box Set"/>
    <x v="0"/>
    <x v="1"/>
    <x v="0"/>
    <n v="1"/>
    <n v="3200"/>
    <x v="2"/>
    <n v="2880"/>
    <x v="3"/>
  </r>
  <r>
    <s v="ORD0308"/>
    <s v="C0334"/>
    <x v="108"/>
    <s v="Smart Watch"/>
    <x v="2"/>
    <x v="0"/>
    <x v="0"/>
    <n v="1"/>
    <n v="12800"/>
    <x v="1"/>
    <n v="12160"/>
    <x v="12"/>
  </r>
  <r>
    <s v="ORD0309"/>
    <s v="C0269"/>
    <x v="18"/>
    <s v="Skincare Set"/>
    <x v="4"/>
    <x v="0"/>
    <x v="1"/>
    <n v="1"/>
    <n v="7200"/>
    <x v="2"/>
    <n v="6480"/>
    <x v="10"/>
  </r>
  <r>
    <s v="ORD0310"/>
    <s v="C0289"/>
    <x v="186"/>
    <s v="T-Shirt"/>
    <x v="1"/>
    <x v="0"/>
    <x v="1"/>
    <n v="2"/>
    <n v="3200"/>
    <x v="1"/>
    <n v="6080"/>
    <x v="8"/>
  </r>
  <r>
    <s v="ORD0311"/>
    <s v="C0045"/>
    <x v="22"/>
    <s v="Hair Dryer"/>
    <x v="4"/>
    <x v="1"/>
    <x v="0"/>
    <n v="1"/>
    <n v="6800"/>
    <x v="2"/>
    <n v="6120"/>
    <x v="8"/>
  </r>
  <r>
    <s v="ORD0312"/>
    <s v="C0081"/>
    <x v="7"/>
    <s v="Body Lotion"/>
    <x v="4"/>
    <x v="1"/>
    <x v="0"/>
    <n v="1"/>
    <n v="2400"/>
    <x v="0"/>
    <n v="2400"/>
    <x v="10"/>
  </r>
  <r>
    <s v="ORD0313"/>
    <s v="C0394"/>
    <x v="149"/>
    <s v="Jacket"/>
    <x v="1"/>
    <x v="0"/>
    <x v="0"/>
    <n v="2"/>
    <n v="11500"/>
    <x v="0"/>
    <n v="23000"/>
    <x v="3"/>
  </r>
  <r>
    <s v="ORD0314"/>
    <s v="C0214"/>
    <x v="179"/>
    <s v="Yoga Mat"/>
    <x v="3"/>
    <x v="0"/>
    <x v="0"/>
    <n v="1"/>
    <n v="3800"/>
    <x v="0"/>
    <n v="3800"/>
    <x v="11"/>
  </r>
  <r>
    <s v="ORD0315"/>
    <s v="C0358"/>
    <x v="53"/>
    <s v="Dumbbell Set"/>
    <x v="3"/>
    <x v="0"/>
    <x v="0"/>
    <n v="1"/>
    <n v="7400"/>
    <x v="2"/>
    <n v="6660"/>
    <x v="4"/>
  </r>
  <r>
    <s v="ORD0316"/>
    <s v="C0196"/>
    <x v="187"/>
    <s v="Skincare Set"/>
    <x v="4"/>
    <x v="1"/>
    <x v="1"/>
    <n v="1"/>
    <n v="7200"/>
    <x v="0"/>
    <n v="7200"/>
    <x v="13"/>
  </r>
  <r>
    <s v="ORD0317"/>
    <s v="C0325"/>
    <x v="188"/>
    <s v="USB-C Hub"/>
    <x v="2"/>
    <x v="0"/>
    <x v="0"/>
    <n v="2"/>
    <n v="4200"/>
    <x v="2"/>
    <n v="7560"/>
    <x v="14"/>
  </r>
  <r>
    <s v="ORD0318"/>
    <s v="C0046"/>
    <x v="171"/>
    <s v="Body Lotion"/>
    <x v="4"/>
    <x v="1"/>
    <x v="0"/>
    <n v="1"/>
    <n v="2400"/>
    <x v="3"/>
    <n v="2040"/>
    <x v="7"/>
  </r>
  <r>
    <s v="ORD0319"/>
    <s v="C0375"/>
    <x v="189"/>
    <s v="T-Shirt"/>
    <x v="1"/>
    <x v="0"/>
    <x v="1"/>
    <n v="4"/>
    <n v="3200"/>
    <x v="0"/>
    <n v="12800"/>
    <x v="4"/>
  </r>
  <r>
    <s v="ORD0320"/>
    <s v="C0330"/>
    <x v="119"/>
    <s v="Hair Dryer"/>
    <x v="4"/>
    <x v="0"/>
    <x v="0"/>
    <n v="2"/>
    <n v="6800"/>
    <x v="0"/>
    <n v="13600"/>
    <x v="2"/>
  </r>
  <r>
    <s v="ORD0321"/>
    <s v="C0187"/>
    <x v="190"/>
    <s v="Wireless Headphones"/>
    <x v="2"/>
    <x v="1"/>
    <x v="0"/>
    <n v="2"/>
    <n v="8500"/>
    <x v="3"/>
    <n v="14450"/>
    <x v="2"/>
  </r>
  <r>
    <s v="ORD0322"/>
    <s v="C0312"/>
    <x v="70"/>
    <s v="Hoodie"/>
    <x v="1"/>
    <x v="0"/>
    <x v="1"/>
    <n v="1"/>
    <n v="5900"/>
    <x v="3"/>
    <n v="5015"/>
    <x v="14"/>
  </r>
  <r>
    <s v="ORD0323"/>
    <s v="C0242"/>
    <x v="191"/>
    <s v="USB-C Hub"/>
    <x v="2"/>
    <x v="0"/>
    <x v="0"/>
    <n v="1"/>
    <n v="4200"/>
    <x v="3"/>
    <n v="3570"/>
    <x v="7"/>
  </r>
  <r>
    <s v="ORD0324"/>
    <s v="C0059"/>
    <x v="192"/>
    <s v="Skincare Set"/>
    <x v="4"/>
    <x v="1"/>
    <x v="2"/>
    <n v="1"/>
    <n v="7200"/>
    <x v="2"/>
    <n v="6480"/>
    <x v="2"/>
  </r>
  <r>
    <s v="ORD0325"/>
    <s v="C0439"/>
    <x v="193"/>
    <s v="Running Shoes"/>
    <x v="3"/>
    <x v="0"/>
    <x v="0"/>
    <n v="1"/>
    <n v="9200"/>
    <x v="2"/>
    <n v="8280"/>
    <x v="7"/>
  </r>
  <r>
    <s v="ORD0326"/>
    <s v="C0031"/>
    <x v="130"/>
    <s v="Sports Bag"/>
    <x v="3"/>
    <x v="1"/>
    <x v="0"/>
    <n v="1"/>
    <n v="5600"/>
    <x v="1"/>
    <n v="5320"/>
    <x v="9"/>
  </r>
  <r>
    <s v="ORD0327"/>
    <s v="C0162"/>
    <x v="194"/>
    <s v="Electric Kettle"/>
    <x v="0"/>
    <x v="1"/>
    <x v="2"/>
    <n v="2"/>
    <n v="4800"/>
    <x v="3"/>
    <n v="8160"/>
    <x v="10"/>
  </r>
  <r>
    <s v="ORD0328"/>
    <s v="C0302"/>
    <x v="195"/>
    <s v="Air Fryer"/>
    <x v="0"/>
    <x v="0"/>
    <x v="2"/>
    <n v="1"/>
    <n v="9800"/>
    <x v="0"/>
    <n v="9800"/>
    <x v="5"/>
  </r>
  <r>
    <s v="ORD0329"/>
    <s v="C0007"/>
    <x v="157"/>
    <s v="Air Fryer"/>
    <x v="0"/>
    <x v="1"/>
    <x v="0"/>
    <n v="1"/>
    <n v="9800"/>
    <x v="1"/>
    <n v="9310"/>
    <x v="0"/>
  </r>
  <r>
    <s v="ORD0330"/>
    <s v="C0006"/>
    <x v="3"/>
    <s v="Sneakers"/>
    <x v="1"/>
    <x v="1"/>
    <x v="1"/>
    <n v="1"/>
    <n v="8900"/>
    <x v="3"/>
    <n v="7565"/>
    <x v="3"/>
  </r>
  <r>
    <s v="ORD0331"/>
    <s v="C0029"/>
    <x v="165"/>
    <s v="Sports Bag"/>
    <x v="3"/>
    <x v="1"/>
    <x v="0"/>
    <n v="3"/>
    <n v="5600"/>
    <x v="1"/>
    <n v="15960"/>
    <x v="5"/>
  </r>
  <r>
    <s v="ORD0332"/>
    <s v="C0149"/>
    <x v="14"/>
    <s v="Sneakers"/>
    <x v="1"/>
    <x v="1"/>
    <x v="0"/>
    <n v="2"/>
    <n v="8900"/>
    <x v="3"/>
    <n v="15130"/>
    <x v="12"/>
  </r>
  <r>
    <s v="ORD0333"/>
    <s v="C0403"/>
    <x v="116"/>
    <s v="Table Lamp"/>
    <x v="0"/>
    <x v="0"/>
    <x v="0"/>
    <n v="2"/>
    <n v="5400"/>
    <x v="1"/>
    <n v="10260"/>
    <x v="12"/>
  </r>
  <r>
    <s v="ORD0334"/>
    <s v="C0149"/>
    <x v="4"/>
    <s v="Electric Kettle"/>
    <x v="0"/>
    <x v="1"/>
    <x v="1"/>
    <n v="3"/>
    <n v="4800"/>
    <x v="2"/>
    <n v="12960"/>
    <x v="1"/>
  </r>
  <r>
    <s v="ORD0335"/>
    <s v="C0238"/>
    <x v="196"/>
    <s v="T-Shirt"/>
    <x v="1"/>
    <x v="0"/>
    <x v="0"/>
    <n v="2"/>
    <n v="3200"/>
    <x v="1"/>
    <n v="6080"/>
    <x v="14"/>
  </r>
  <r>
    <s v="ORD0336"/>
    <s v="C0098"/>
    <x v="197"/>
    <s v="Sneakers"/>
    <x v="1"/>
    <x v="1"/>
    <x v="0"/>
    <n v="1"/>
    <n v="8900"/>
    <x v="1"/>
    <n v="8455"/>
    <x v="13"/>
  </r>
  <r>
    <s v="ORD0337"/>
    <s v="C0151"/>
    <x v="4"/>
    <s v="Storage Box Set"/>
    <x v="0"/>
    <x v="1"/>
    <x v="1"/>
    <n v="1"/>
    <n v="3200"/>
    <x v="2"/>
    <n v="2880"/>
    <x v="12"/>
  </r>
  <r>
    <s v="ORD0338"/>
    <s v="C0173"/>
    <x v="198"/>
    <s v="Coffee Maker"/>
    <x v="0"/>
    <x v="1"/>
    <x v="0"/>
    <n v="1"/>
    <n v="7600"/>
    <x v="0"/>
    <n v="7600"/>
    <x v="7"/>
  </r>
  <r>
    <s v="ORD0339"/>
    <s v="C0011"/>
    <x v="199"/>
    <s v="Hair Dryer"/>
    <x v="4"/>
    <x v="1"/>
    <x v="0"/>
    <n v="1"/>
    <n v="6800"/>
    <x v="0"/>
    <n v="6800"/>
    <x v="7"/>
  </r>
  <r>
    <s v="ORD0340"/>
    <s v="C0155"/>
    <x v="148"/>
    <s v="Wireless Mouse"/>
    <x v="2"/>
    <x v="1"/>
    <x v="2"/>
    <n v="2"/>
    <n v="3500"/>
    <x v="2"/>
    <n v="6300"/>
    <x v="12"/>
  </r>
  <r>
    <s v="ORD0341"/>
    <s v="C0418"/>
    <x v="96"/>
    <s v="Sports Bag"/>
    <x v="3"/>
    <x v="0"/>
    <x v="2"/>
    <n v="1"/>
    <n v="5600"/>
    <x v="1"/>
    <n v="5320"/>
    <x v="8"/>
  </r>
  <r>
    <s v="ORD0342"/>
    <s v="C0097"/>
    <x v="143"/>
    <s v="Air Fryer"/>
    <x v="0"/>
    <x v="1"/>
    <x v="1"/>
    <n v="1"/>
    <n v="9800"/>
    <x v="2"/>
    <n v="8820"/>
    <x v="13"/>
  </r>
  <r>
    <s v="ORD0343"/>
    <s v="C0412"/>
    <x v="200"/>
    <s v="Wireless Mouse"/>
    <x v="2"/>
    <x v="0"/>
    <x v="0"/>
    <n v="1"/>
    <n v="3500"/>
    <x v="3"/>
    <n v="2975"/>
    <x v="11"/>
  </r>
  <r>
    <s v="ORD0344"/>
    <s v="C0486"/>
    <x v="53"/>
    <s v="Sneakers"/>
    <x v="1"/>
    <x v="0"/>
    <x v="2"/>
    <n v="1"/>
    <n v="8900"/>
    <x v="0"/>
    <n v="8900"/>
    <x v="0"/>
  </r>
  <r>
    <s v="ORD0345"/>
    <s v="C0283"/>
    <x v="171"/>
    <s v="Smart Watch"/>
    <x v="2"/>
    <x v="0"/>
    <x v="0"/>
    <n v="3"/>
    <n v="12800"/>
    <x v="0"/>
    <n v="38400"/>
    <x v="6"/>
  </r>
  <r>
    <s v="ORD0346"/>
    <s v="C0370"/>
    <x v="201"/>
    <s v="Running Shoes"/>
    <x v="3"/>
    <x v="0"/>
    <x v="0"/>
    <n v="3"/>
    <n v="9200"/>
    <x v="2"/>
    <n v="24840"/>
    <x v="8"/>
  </r>
  <r>
    <s v="ORD0347"/>
    <s v="C0441"/>
    <x v="173"/>
    <s v="Jeans"/>
    <x v="1"/>
    <x v="0"/>
    <x v="0"/>
    <n v="4"/>
    <n v="7600"/>
    <x v="3"/>
    <n v="25840"/>
    <x v="12"/>
  </r>
  <r>
    <s v="ORD0348"/>
    <s v="C0411"/>
    <x v="78"/>
    <s v="Jacket"/>
    <x v="1"/>
    <x v="0"/>
    <x v="1"/>
    <n v="2"/>
    <n v="11500"/>
    <x v="2"/>
    <n v="20700"/>
    <x v="4"/>
  </r>
  <r>
    <s v="ORD0349"/>
    <s v="C0341"/>
    <x v="133"/>
    <s v="Wireless Headphones"/>
    <x v="2"/>
    <x v="0"/>
    <x v="0"/>
    <n v="1"/>
    <n v="8500"/>
    <x v="3"/>
    <n v="7225"/>
    <x v="8"/>
  </r>
  <r>
    <s v="ORD0350"/>
    <s v="C0078"/>
    <x v="161"/>
    <s v="Fitness Band"/>
    <x v="3"/>
    <x v="1"/>
    <x v="2"/>
    <n v="1"/>
    <n v="4100"/>
    <x v="1"/>
    <n v="3895"/>
    <x v="9"/>
  </r>
  <r>
    <s v="ORD0351"/>
    <s v="C0147"/>
    <x v="127"/>
    <s v="Smart Watch"/>
    <x v="2"/>
    <x v="1"/>
    <x v="0"/>
    <n v="2"/>
    <n v="12800"/>
    <x v="2"/>
    <n v="23040"/>
    <x v="7"/>
  </r>
  <r>
    <s v="ORD0352"/>
    <s v="C0100"/>
    <x v="189"/>
    <s v="USB-C Hub"/>
    <x v="2"/>
    <x v="1"/>
    <x v="0"/>
    <n v="1"/>
    <n v="4200"/>
    <x v="2"/>
    <n v="3780"/>
    <x v="12"/>
  </r>
  <r>
    <s v="ORD0353"/>
    <s v="C0311"/>
    <x v="168"/>
    <s v="Dumbbell Set"/>
    <x v="3"/>
    <x v="0"/>
    <x v="0"/>
    <n v="1"/>
    <n v="7400"/>
    <x v="3"/>
    <n v="6290"/>
    <x v="12"/>
  </r>
  <r>
    <s v="ORD0354"/>
    <s v="C0179"/>
    <x v="202"/>
    <s v="Electric Kettle"/>
    <x v="0"/>
    <x v="1"/>
    <x v="0"/>
    <n v="1"/>
    <n v="4800"/>
    <x v="1"/>
    <n v="4560"/>
    <x v="14"/>
  </r>
  <r>
    <s v="ORD0355"/>
    <s v="C0270"/>
    <x v="64"/>
    <s v="Wireless Headphones"/>
    <x v="2"/>
    <x v="0"/>
    <x v="1"/>
    <n v="3"/>
    <n v="8500"/>
    <x v="1"/>
    <n v="24225"/>
    <x v="14"/>
  </r>
  <r>
    <s v="ORD0356"/>
    <s v="C0003"/>
    <x v="192"/>
    <s v="Table Lamp"/>
    <x v="0"/>
    <x v="1"/>
    <x v="0"/>
    <n v="4"/>
    <n v="5400"/>
    <x v="2"/>
    <n v="19440"/>
    <x v="12"/>
  </r>
  <r>
    <s v="ORD0357"/>
    <s v="C0207"/>
    <x v="28"/>
    <s v="Jacket"/>
    <x v="1"/>
    <x v="1"/>
    <x v="0"/>
    <n v="1"/>
    <n v="11500"/>
    <x v="3"/>
    <n v="9775"/>
    <x v="1"/>
  </r>
  <r>
    <s v="ORD0358"/>
    <s v="C0215"/>
    <x v="203"/>
    <s v="Skincare Set"/>
    <x v="4"/>
    <x v="0"/>
    <x v="0"/>
    <n v="1"/>
    <n v="7200"/>
    <x v="1"/>
    <n v="6840"/>
    <x v="14"/>
  </r>
  <r>
    <s v="ORD0359"/>
    <s v="C0109"/>
    <x v="200"/>
    <s v="Electric Kettle"/>
    <x v="0"/>
    <x v="1"/>
    <x v="0"/>
    <n v="2"/>
    <n v="4800"/>
    <x v="0"/>
    <n v="9600"/>
    <x v="4"/>
  </r>
  <r>
    <s v="ORD0360"/>
    <s v="C0329"/>
    <x v="66"/>
    <s v="Fitness Band"/>
    <x v="3"/>
    <x v="0"/>
    <x v="0"/>
    <n v="2"/>
    <n v="4100"/>
    <x v="2"/>
    <n v="7380"/>
    <x v="6"/>
  </r>
  <r>
    <s v="ORD0361"/>
    <s v="C0353"/>
    <x v="200"/>
    <s v="Beauty Mirror"/>
    <x v="4"/>
    <x v="0"/>
    <x v="0"/>
    <n v="4"/>
    <n v="4500"/>
    <x v="2"/>
    <n v="16200"/>
    <x v="13"/>
  </r>
  <r>
    <s v="ORD0362"/>
    <s v="C0435"/>
    <x v="174"/>
    <s v="Hair Dryer"/>
    <x v="4"/>
    <x v="0"/>
    <x v="0"/>
    <n v="1"/>
    <n v="6800"/>
    <x v="0"/>
    <n v="6800"/>
    <x v="5"/>
  </r>
  <r>
    <s v="ORD0363"/>
    <s v="C0418"/>
    <x v="14"/>
    <s v="Skincare Set"/>
    <x v="4"/>
    <x v="0"/>
    <x v="0"/>
    <n v="4"/>
    <n v="7200"/>
    <x v="3"/>
    <n v="24480"/>
    <x v="8"/>
  </r>
  <r>
    <s v="ORD0364"/>
    <s v="C0169"/>
    <x v="51"/>
    <s v="T-Shirt"/>
    <x v="1"/>
    <x v="1"/>
    <x v="0"/>
    <n v="1"/>
    <n v="3200"/>
    <x v="0"/>
    <n v="3200"/>
    <x v="2"/>
  </r>
  <r>
    <s v="ORD0365"/>
    <s v="C0177"/>
    <x v="72"/>
    <s v="Dumbbell Set"/>
    <x v="3"/>
    <x v="1"/>
    <x v="0"/>
    <n v="1"/>
    <n v="7400"/>
    <x v="0"/>
    <n v="7400"/>
    <x v="0"/>
  </r>
  <r>
    <s v="ORD0366"/>
    <s v="C0461"/>
    <x v="61"/>
    <s v="Jeans"/>
    <x v="1"/>
    <x v="0"/>
    <x v="2"/>
    <n v="1"/>
    <n v="7600"/>
    <x v="2"/>
    <n v="6840"/>
    <x v="11"/>
  </r>
  <r>
    <s v="ORD0367"/>
    <s v="C0314"/>
    <x v="65"/>
    <s v="Storage Box Set"/>
    <x v="0"/>
    <x v="0"/>
    <x v="2"/>
    <n v="1"/>
    <n v="3200"/>
    <x v="4"/>
    <n v="2560"/>
    <x v="0"/>
  </r>
  <r>
    <s v="ORD0368"/>
    <s v="C0189"/>
    <x v="72"/>
    <s v="Smart Watch"/>
    <x v="2"/>
    <x v="1"/>
    <x v="2"/>
    <n v="2"/>
    <n v="12800"/>
    <x v="0"/>
    <n v="25600"/>
    <x v="6"/>
  </r>
  <r>
    <s v="ORD0369"/>
    <s v="C0433"/>
    <x v="110"/>
    <s v="Facial Cleanser"/>
    <x v="4"/>
    <x v="0"/>
    <x v="0"/>
    <n v="1"/>
    <n v="2800"/>
    <x v="0"/>
    <n v="2800"/>
    <x v="2"/>
  </r>
  <r>
    <s v="ORD0370"/>
    <s v="C0282"/>
    <x v="74"/>
    <s v="USB-C Hub"/>
    <x v="2"/>
    <x v="0"/>
    <x v="0"/>
    <n v="2"/>
    <n v="4200"/>
    <x v="2"/>
    <n v="7560"/>
    <x v="8"/>
  </r>
  <r>
    <s v="ORD0371"/>
    <s v="C0129"/>
    <x v="54"/>
    <s v="Wireless Mouse"/>
    <x v="2"/>
    <x v="1"/>
    <x v="0"/>
    <n v="3"/>
    <n v="3500"/>
    <x v="0"/>
    <n v="10500"/>
    <x v="12"/>
  </r>
  <r>
    <s v="ORD0372"/>
    <s v="C0122"/>
    <x v="20"/>
    <s v="Bluetooth Speaker"/>
    <x v="2"/>
    <x v="1"/>
    <x v="1"/>
    <n v="2"/>
    <n v="6200"/>
    <x v="0"/>
    <n v="12400"/>
    <x v="3"/>
  </r>
  <r>
    <s v="ORD0373"/>
    <s v="C0224"/>
    <x v="80"/>
    <s v="Wireless Mouse"/>
    <x v="2"/>
    <x v="0"/>
    <x v="0"/>
    <n v="1"/>
    <n v="3500"/>
    <x v="2"/>
    <n v="3150"/>
    <x v="14"/>
  </r>
  <r>
    <s v="ORD0374"/>
    <s v="C0030"/>
    <x v="204"/>
    <s v="T-Shirt"/>
    <x v="1"/>
    <x v="1"/>
    <x v="1"/>
    <n v="1"/>
    <n v="3200"/>
    <x v="1"/>
    <n v="3040"/>
    <x v="5"/>
  </r>
  <r>
    <s v="ORD0375"/>
    <s v="C0348"/>
    <x v="195"/>
    <s v="Beauty Mirror"/>
    <x v="4"/>
    <x v="0"/>
    <x v="0"/>
    <n v="2"/>
    <n v="4500"/>
    <x v="2"/>
    <n v="8100"/>
    <x v="13"/>
  </r>
  <r>
    <s v="ORD0376"/>
    <s v="C0369"/>
    <x v="130"/>
    <s v="T-Shirt"/>
    <x v="1"/>
    <x v="0"/>
    <x v="2"/>
    <n v="4"/>
    <n v="3200"/>
    <x v="1"/>
    <n v="12160"/>
    <x v="11"/>
  </r>
  <r>
    <s v="ORD0377"/>
    <s v="C0438"/>
    <x v="32"/>
    <s v="Wireless Mouse"/>
    <x v="2"/>
    <x v="0"/>
    <x v="0"/>
    <n v="2"/>
    <n v="3500"/>
    <x v="2"/>
    <n v="6300"/>
    <x v="7"/>
  </r>
  <r>
    <s v="ORD0378"/>
    <s v="C0002"/>
    <x v="41"/>
    <s v="Wireless Headphones"/>
    <x v="2"/>
    <x v="1"/>
    <x v="1"/>
    <n v="1"/>
    <n v="8500"/>
    <x v="2"/>
    <n v="7650"/>
    <x v="7"/>
  </r>
  <r>
    <s v="ORD0379"/>
    <s v="C0479"/>
    <x v="205"/>
    <s v="Beauty Mirror"/>
    <x v="4"/>
    <x v="0"/>
    <x v="1"/>
    <n v="2"/>
    <n v="4500"/>
    <x v="0"/>
    <n v="9000"/>
    <x v="11"/>
  </r>
  <r>
    <s v="ORD0380"/>
    <s v="C0297"/>
    <x v="65"/>
    <s v="Coffee Maker"/>
    <x v="0"/>
    <x v="0"/>
    <x v="2"/>
    <n v="1"/>
    <n v="7600"/>
    <x v="2"/>
    <n v="6840"/>
    <x v="5"/>
  </r>
  <r>
    <s v="ORD0381"/>
    <s v="C0331"/>
    <x v="24"/>
    <s v="Skincare Set"/>
    <x v="4"/>
    <x v="0"/>
    <x v="0"/>
    <n v="1"/>
    <n v="7200"/>
    <x v="1"/>
    <n v="6840"/>
    <x v="6"/>
  </r>
  <r>
    <s v="ORD0382"/>
    <s v="C0374"/>
    <x v="206"/>
    <s v="T-Shirt"/>
    <x v="1"/>
    <x v="0"/>
    <x v="0"/>
    <n v="3"/>
    <n v="3200"/>
    <x v="2"/>
    <n v="8640"/>
    <x v="8"/>
  </r>
  <r>
    <s v="ORD0383"/>
    <s v="C0305"/>
    <x v="131"/>
    <s v="Coffee Maker"/>
    <x v="0"/>
    <x v="0"/>
    <x v="2"/>
    <n v="1"/>
    <n v="7600"/>
    <x v="0"/>
    <n v="7600"/>
    <x v="10"/>
  </r>
  <r>
    <s v="ORD0384"/>
    <s v="C0317"/>
    <x v="207"/>
    <s v="USB-C Hub"/>
    <x v="2"/>
    <x v="0"/>
    <x v="0"/>
    <n v="1"/>
    <n v="4200"/>
    <x v="3"/>
    <n v="3570"/>
    <x v="9"/>
  </r>
  <r>
    <s v="ORD0385"/>
    <s v="C0176"/>
    <x v="208"/>
    <s v="Jeans"/>
    <x v="1"/>
    <x v="1"/>
    <x v="2"/>
    <n v="1"/>
    <n v="7600"/>
    <x v="0"/>
    <n v="7600"/>
    <x v="10"/>
  </r>
  <r>
    <s v="ORD0386"/>
    <s v="C0448"/>
    <x v="134"/>
    <s v="Sneakers"/>
    <x v="1"/>
    <x v="0"/>
    <x v="2"/>
    <n v="1"/>
    <n v="8900"/>
    <x v="0"/>
    <n v="8900"/>
    <x v="4"/>
  </r>
  <r>
    <s v="ORD0387"/>
    <s v="C0413"/>
    <x v="35"/>
    <s v="Hair Dryer"/>
    <x v="4"/>
    <x v="0"/>
    <x v="0"/>
    <n v="1"/>
    <n v="6800"/>
    <x v="1"/>
    <n v="6460"/>
    <x v="14"/>
  </r>
  <r>
    <s v="ORD0388"/>
    <s v="C0286"/>
    <x v="111"/>
    <s v="Storage Box Set"/>
    <x v="0"/>
    <x v="0"/>
    <x v="0"/>
    <n v="1"/>
    <n v="3200"/>
    <x v="3"/>
    <n v="2720"/>
    <x v="11"/>
  </r>
  <r>
    <s v="ORD0389"/>
    <s v="C0482"/>
    <x v="209"/>
    <s v="Facial Cleanser"/>
    <x v="4"/>
    <x v="0"/>
    <x v="1"/>
    <n v="1"/>
    <n v="2800"/>
    <x v="2"/>
    <n v="2520"/>
    <x v="8"/>
  </r>
  <r>
    <s v="ORD0390"/>
    <s v="C0134"/>
    <x v="96"/>
    <s v="Storage Box Set"/>
    <x v="0"/>
    <x v="1"/>
    <x v="1"/>
    <n v="1"/>
    <n v="3200"/>
    <x v="2"/>
    <n v="2880"/>
    <x v="4"/>
  </r>
  <r>
    <s v="ORD0391"/>
    <s v="C0270"/>
    <x v="98"/>
    <s v="Bluetooth Speaker"/>
    <x v="2"/>
    <x v="0"/>
    <x v="0"/>
    <n v="1"/>
    <n v="6200"/>
    <x v="1"/>
    <n v="5890"/>
    <x v="13"/>
  </r>
  <r>
    <s v="ORD0392"/>
    <s v="C0165"/>
    <x v="183"/>
    <s v="Sports Bag"/>
    <x v="3"/>
    <x v="1"/>
    <x v="2"/>
    <n v="1"/>
    <n v="5600"/>
    <x v="2"/>
    <n v="5040"/>
    <x v="10"/>
  </r>
  <r>
    <s v="ORD0393"/>
    <s v="C0485"/>
    <x v="90"/>
    <s v="Sports Bag"/>
    <x v="3"/>
    <x v="0"/>
    <x v="1"/>
    <n v="1"/>
    <n v="5600"/>
    <x v="1"/>
    <n v="5320"/>
    <x v="3"/>
  </r>
  <r>
    <s v="ORD0394"/>
    <s v="C0309"/>
    <x v="157"/>
    <s v="USB-C Hub"/>
    <x v="2"/>
    <x v="0"/>
    <x v="0"/>
    <n v="3"/>
    <n v="4200"/>
    <x v="1"/>
    <n v="11970"/>
    <x v="4"/>
  </r>
  <r>
    <s v="ORD0395"/>
    <s v="C0438"/>
    <x v="201"/>
    <s v="Smart Watch"/>
    <x v="2"/>
    <x v="0"/>
    <x v="1"/>
    <n v="1"/>
    <n v="12800"/>
    <x v="1"/>
    <n v="12160"/>
    <x v="10"/>
  </r>
  <r>
    <s v="ORD0396"/>
    <s v="C0123"/>
    <x v="50"/>
    <s v="T-Shirt"/>
    <x v="1"/>
    <x v="1"/>
    <x v="0"/>
    <n v="1"/>
    <n v="3200"/>
    <x v="2"/>
    <n v="2880"/>
    <x v="2"/>
  </r>
  <r>
    <s v="ORD0397"/>
    <s v="C0432"/>
    <x v="210"/>
    <s v="Hoodie"/>
    <x v="1"/>
    <x v="0"/>
    <x v="2"/>
    <n v="2"/>
    <n v="5900"/>
    <x v="4"/>
    <n v="9440"/>
    <x v="6"/>
  </r>
  <r>
    <s v="ORD0398"/>
    <s v="C0473"/>
    <x v="198"/>
    <s v="Jacket"/>
    <x v="1"/>
    <x v="0"/>
    <x v="0"/>
    <n v="1"/>
    <n v="11500"/>
    <x v="4"/>
    <n v="9200"/>
    <x v="8"/>
  </r>
  <r>
    <s v="ORD0399"/>
    <s v="C0098"/>
    <x v="211"/>
    <s v="Skincare Set"/>
    <x v="4"/>
    <x v="1"/>
    <x v="0"/>
    <n v="3"/>
    <n v="7200"/>
    <x v="1"/>
    <n v="20520"/>
    <x v="4"/>
  </r>
  <r>
    <s v="ORD0400"/>
    <s v="C0470"/>
    <x v="89"/>
    <s v="Sports Bag"/>
    <x v="3"/>
    <x v="0"/>
    <x v="0"/>
    <n v="2"/>
    <n v="5600"/>
    <x v="1"/>
    <n v="10640"/>
    <x v="4"/>
  </r>
  <r>
    <s v="ORD0401"/>
    <s v="C0408"/>
    <x v="8"/>
    <s v="Coffee Maker"/>
    <x v="0"/>
    <x v="0"/>
    <x v="0"/>
    <n v="3"/>
    <n v="7600"/>
    <x v="0"/>
    <n v="22800"/>
    <x v="14"/>
  </r>
  <r>
    <s v="ORD0402"/>
    <s v="C0085"/>
    <x v="96"/>
    <s v="Sports Bag"/>
    <x v="3"/>
    <x v="1"/>
    <x v="2"/>
    <n v="2"/>
    <n v="5600"/>
    <x v="1"/>
    <n v="10640"/>
    <x v="4"/>
  </r>
  <r>
    <s v="ORD0403"/>
    <s v="C0364"/>
    <x v="63"/>
    <s v="Smart Watch"/>
    <x v="2"/>
    <x v="0"/>
    <x v="0"/>
    <n v="2"/>
    <n v="12800"/>
    <x v="4"/>
    <n v="20480"/>
    <x v="13"/>
  </r>
  <r>
    <s v="ORD0404"/>
    <s v="C0118"/>
    <x v="136"/>
    <s v="Beauty Mirror"/>
    <x v="4"/>
    <x v="1"/>
    <x v="1"/>
    <n v="1"/>
    <n v="4500"/>
    <x v="2"/>
    <n v="4050"/>
    <x v="11"/>
  </r>
  <r>
    <s v="ORD0405"/>
    <s v="C0403"/>
    <x v="212"/>
    <s v="USB-C Hub"/>
    <x v="2"/>
    <x v="0"/>
    <x v="0"/>
    <n v="1"/>
    <n v="4200"/>
    <x v="1"/>
    <n v="3990"/>
    <x v="9"/>
  </r>
  <r>
    <s v="ORD0406"/>
    <s v="C0308"/>
    <x v="5"/>
    <s v="Running Shoes"/>
    <x v="3"/>
    <x v="0"/>
    <x v="0"/>
    <n v="1"/>
    <n v="9200"/>
    <x v="2"/>
    <n v="8280"/>
    <x v="6"/>
  </r>
  <r>
    <s v="ORD0407"/>
    <s v="C0468"/>
    <x v="199"/>
    <s v="Wireless Headphones"/>
    <x v="2"/>
    <x v="0"/>
    <x v="0"/>
    <n v="2"/>
    <n v="8500"/>
    <x v="1"/>
    <n v="16150"/>
    <x v="7"/>
  </r>
  <r>
    <s v="ORD0408"/>
    <s v="C0451"/>
    <x v="213"/>
    <s v="Coffee Maker"/>
    <x v="0"/>
    <x v="0"/>
    <x v="0"/>
    <n v="1"/>
    <n v="7600"/>
    <x v="1"/>
    <n v="7220"/>
    <x v="6"/>
  </r>
  <r>
    <s v="ORD0409"/>
    <s v="C0175"/>
    <x v="214"/>
    <s v="Hoodie"/>
    <x v="1"/>
    <x v="1"/>
    <x v="2"/>
    <n v="4"/>
    <n v="5900"/>
    <x v="1"/>
    <n v="22420"/>
    <x v="6"/>
  </r>
  <r>
    <s v="ORD0410"/>
    <s v="C0150"/>
    <x v="90"/>
    <s v="Sneakers"/>
    <x v="1"/>
    <x v="1"/>
    <x v="0"/>
    <n v="3"/>
    <n v="8900"/>
    <x v="2"/>
    <n v="24030"/>
    <x v="11"/>
  </r>
  <r>
    <s v="ORD0411"/>
    <s v="C0165"/>
    <x v="215"/>
    <s v="USB-C Hub"/>
    <x v="2"/>
    <x v="1"/>
    <x v="0"/>
    <n v="1"/>
    <n v="4200"/>
    <x v="0"/>
    <n v="4200"/>
    <x v="14"/>
  </r>
  <r>
    <s v="ORD0412"/>
    <s v="C0280"/>
    <x v="216"/>
    <s v="Sports Bag"/>
    <x v="3"/>
    <x v="0"/>
    <x v="2"/>
    <n v="1"/>
    <n v="5600"/>
    <x v="1"/>
    <n v="5320"/>
    <x v="8"/>
  </r>
  <r>
    <s v="ORD0413"/>
    <s v="C0271"/>
    <x v="217"/>
    <s v="Yoga Mat"/>
    <x v="3"/>
    <x v="0"/>
    <x v="0"/>
    <n v="1"/>
    <n v="3800"/>
    <x v="4"/>
    <n v="3040"/>
    <x v="5"/>
  </r>
  <r>
    <s v="ORD0414"/>
    <s v="C0080"/>
    <x v="212"/>
    <s v="Storage Box Set"/>
    <x v="0"/>
    <x v="1"/>
    <x v="1"/>
    <n v="1"/>
    <n v="3200"/>
    <x v="0"/>
    <n v="3200"/>
    <x v="2"/>
  </r>
  <r>
    <s v="ORD0415"/>
    <s v="C0154"/>
    <x v="184"/>
    <s v="Jeans"/>
    <x v="1"/>
    <x v="1"/>
    <x v="1"/>
    <n v="3"/>
    <n v="7600"/>
    <x v="1"/>
    <n v="21660"/>
    <x v="3"/>
  </r>
  <r>
    <s v="ORD0416"/>
    <s v="C0310"/>
    <x v="202"/>
    <s v="Jeans"/>
    <x v="1"/>
    <x v="0"/>
    <x v="2"/>
    <n v="2"/>
    <n v="7600"/>
    <x v="2"/>
    <n v="13680"/>
    <x v="9"/>
  </r>
  <r>
    <s v="ORD0417"/>
    <s v="C0450"/>
    <x v="218"/>
    <s v="Fitness Band"/>
    <x v="3"/>
    <x v="0"/>
    <x v="0"/>
    <n v="3"/>
    <n v="4100"/>
    <x v="2"/>
    <n v="11070"/>
    <x v="8"/>
  </r>
  <r>
    <s v="ORD0418"/>
    <s v="C0355"/>
    <x v="49"/>
    <s v="Running Shoes"/>
    <x v="3"/>
    <x v="0"/>
    <x v="1"/>
    <n v="3"/>
    <n v="9200"/>
    <x v="4"/>
    <n v="22080"/>
    <x v="10"/>
  </r>
  <r>
    <s v="ORD0419"/>
    <s v="C0131"/>
    <x v="162"/>
    <s v="Storage Box Set"/>
    <x v="0"/>
    <x v="1"/>
    <x v="2"/>
    <n v="2"/>
    <n v="3200"/>
    <x v="0"/>
    <n v="6400"/>
    <x v="14"/>
  </r>
  <r>
    <s v="ORD0420"/>
    <s v="C0458"/>
    <x v="219"/>
    <s v="Jeans"/>
    <x v="1"/>
    <x v="0"/>
    <x v="0"/>
    <n v="1"/>
    <n v="7600"/>
    <x v="0"/>
    <n v="7600"/>
    <x v="2"/>
  </r>
  <r>
    <s v="ORD0421"/>
    <s v="C0437"/>
    <x v="86"/>
    <s v="Sports Bag"/>
    <x v="3"/>
    <x v="0"/>
    <x v="0"/>
    <n v="3"/>
    <n v="5600"/>
    <x v="1"/>
    <n v="15960"/>
    <x v="12"/>
  </r>
  <r>
    <s v="ORD0422"/>
    <s v="C0093"/>
    <x v="204"/>
    <s v="Wireless Headphones"/>
    <x v="2"/>
    <x v="1"/>
    <x v="2"/>
    <n v="3"/>
    <n v="8500"/>
    <x v="0"/>
    <n v="25500"/>
    <x v="3"/>
  </r>
  <r>
    <s v="ORD0423"/>
    <s v="C0289"/>
    <x v="19"/>
    <s v="Storage Box Set"/>
    <x v="0"/>
    <x v="0"/>
    <x v="2"/>
    <n v="1"/>
    <n v="3200"/>
    <x v="1"/>
    <n v="3040"/>
    <x v="6"/>
  </r>
  <r>
    <s v="ORD0424"/>
    <s v="C0135"/>
    <x v="2"/>
    <s v="Wireless Headphones"/>
    <x v="2"/>
    <x v="1"/>
    <x v="2"/>
    <n v="2"/>
    <n v="8500"/>
    <x v="2"/>
    <n v="15300"/>
    <x v="2"/>
  </r>
  <r>
    <s v="ORD0425"/>
    <s v="C0297"/>
    <x v="32"/>
    <s v="T-Shirt"/>
    <x v="1"/>
    <x v="0"/>
    <x v="2"/>
    <n v="2"/>
    <n v="3200"/>
    <x v="4"/>
    <n v="5120"/>
    <x v="14"/>
  </r>
  <r>
    <s v="ORD0426"/>
    <s v="C0282"/>
    <x v="162"/>
    <s v="Coffee Maker"/>
    <x v="0"/>
    <x v="0"/>
    <x v="0"/>
    <n v="1"/>
    <n v="7600"/>
    <x v="4"/>
    <n v="6080"/>
    <x v="2"/>
  </r>
  <r>
    <s v="ORD0427"/>
    <s v="C0064"/>
    <x v="130"/>
    <s v="Storage Box Set"/>
    <x v="0"/>
    <x v="1"/>
    <x v="0"/>
    <n v="2"/>
    <n v="3200"/>
    <x v="2"/>
    <n v="5760"/>
    <x v="3"/>
  </r>
  <r>
    <s v="ORD0428"/>
    <s v="C0357"/>
    <x v="65"/>
    <s v="T-Shirt"/>
    <x v="1"/>
    <x v="0"/>
    <x v="0"/>
    <n v="1"/>
    <n v="3200"/>
    <x v="2"/>
    <n v="2880"/>
    <x v="11"/>
  </r>
  <r>
    <s v="ORD0429"/>
    <s v="C0123"/>
    <x v="220"/>
    <s v="Hair Dryer"/>
    <x v="4"/>
    <x v="1"/>
    <x v="1"/>
    <n v="1"/>
    <n v="6800"/>
    <x v="3"/>
    <n v="5780"/>
    <x v="1"/>
  </r>
  <r>
    <s v="ORD0430"/>
    <s v="C0258"/>
    <x v="65"/>
    <s v="Jeans"/>
    <x v="1"/>
    <x v="0"/>
    <x v="2"/>
    <n v="1"/>
    <n v="7600"/>
    <x v="2"/>
    <n v="6840"/>
    <x v="11"/>
  </r>
  <r>
    <s v="ORD0431"/>
    <s v="C0202"/>
    <x v="102"/>
    <s v="Jeans"/>
    <x v="1"/>
    <x v="1"/>
    <x v="2"/>
    <n v="1"/>
    <n v="7600"/>
    <x v="2"/>
    <n v="6840"/>
    <x v="0"/>
  </r>
  <r>
    <s v="ORD0432"/>
    <s v="C0148"/>
    <x v="115"/>
    <s v="Smart Watch"/>
    <x v="2"/>
    <x v="1"/>
    <x v="0"/>
    <n v="1"/>
    <n v="12800"/>
    <x v="4"/>
    <n v="10240"/>
    <x v="5"/>
  </r>
  <r>
    <s v="ORD0433"/>
    <s v="C0443"/>
    <x v="219"/>
    <s v="Facial Cleanser"/>
    <x v="4"/>
    <x v="0"/>
    <x v="0"/>
    <n v="2"/>
    <n v="2800"/>
    <x v="2"/>
    <n v="5040"/>
    <x v="9"/>
  </r>
  <r>
    <s v="ORD0434"/>
    <s v="C0441"/>
    <x v="193"/>
    <s v="Storage Box Set"/>
    <x v="0"/>
    <x v="0"/>
    <x v="2"/>
    <n v="2"/>
    <n v="3200"/>
    <x v="2"/>
    <n v="5760"/>
    <x v="5"/>
  </r>
  <r>
    <s v="ORD0435"/>
    <s v="C0469"/>
    <x v="12"/>
    <s v="Sports Bag"/>
    <x v="3"/>
    <x v="0"/>
    <x v="2"/>
    <n v="2"/>
    <n v="5600"/>
    <x v="0"/>
    <n v="11200"/>
    <x v="8"/>
  </r>
  <r>
    <s v="ORD0436"/>
    <s v="C0321"/>
    <x v="46"/>
    <s v="Fitness Band"/>
    <x v="3"/>
    <x v="0"/>
    <x v="2"/>
    <n v="2"/>
    <n v="4100"/>
    <x v="2"/>
    <n v="7380"/>
    <x v="4"/>
  </r>
  <r>
    <s v="ORD0437"/>
    <s v="C0360"/>
    <x v="166"/>
    <s v="Dumbbell Set"/>
    <x v="3"/>
    <x v="0"/>
    <x v="0"/>
    <n v="1"/>
    <n v="7400"/>
    <x v="1"/>
    <n v="7030"/>
    <x v="8"/>
  </r>
  <r>
    <s v="ORD0438"/>
    <s v="C0378"/>
    <x v="131"/>
    <s v="Smart Watch"/>
    <x v="2"/>
    <x v="0"/>
    <x v="0"/>
    <n v="1"/>
    <n v="12800"/>
    <x v="1"/>
    <n v="12160"/>
    <x v="8"/>
  </r>
  <r>
    <s v="ORD0439"/>
    <s v="C0287"/>
    <x v="125"/>
    <s v="Dumbbell Set"/>
    <x v="3"/>
    <x v="0"/>
    <x v="2"/>
    <n v="2"/>
    <n v="7400"/>
    <x v="2"/>
    <n v="13320"/>
    <x v="4"/>
  </r>
  <r>
    <s v="ORD0440"/>
    <s v="C0112"/>
    <x v="221"/>
    <s v="Electric Kettle"/>
    <x v="0"/>
    <x v="1"/>
    <x v="1"/>
    <n v="2"/>
    <n v="4800"/>
    <x v="2"/>
    <n v="8640"/>
    <x v="3"/>
  </r>
  <r>
    <s v="ORD0441"/>
    <s v="C0119"/>
    <x v="45"/>
    <s v="Skincare Set"/>
    <x v="4"/>
    <x v="1"/>
    <x v="2"/>
    <n v="2"/>
    <n v="7200"/>
    <x v="2"/>
    <n v="12960"/>
    <x v="3"/>
  </r>
  <r>
    <s v="ORD0442"/>
    <s v="C0412"/>
    <x v="10"/>
    <s v="USB-C Hub"/>
    <x v="2"/>
    <x v="0"/>
    <x v="2"/>
    <n v="2"/>
    <n v="4200"/>
    <x v="1"/>
    <n v="7980"/>
    <x v="2"/>
  </r>
  <r>
    <s v="ORD0443"/>
    <s v="C0028"/>
    <x v="222"/>
    <s v="USB-C Hub"/>
    <x v="2"/>
    <x v="1"/>
    <x v="1"/>
    <n v="1"/>
    <n v="4200"/>
    <x v="3"/>
    <n v="3570"/>
    <x v="14"/>
  </r>
  <r>
    <s v="ORD0444"/>
    <s v="C0237"/>
    <x v="223"/>
    <s v="Sports Bag"/>
    <x v="3"/>
    <x v="0"/>
    <x v="1"/>
    <n v="1"/>
    <n v="5600"/>
    <x v="2"/>
    <n v="5040"/>
    <x v="13"/>
  </r>
  <r>
    <s v="ORD0445"/>
    <s v="C0215"/>
    <x v="119"/>
    <s v="Smart Watch"/>
    <x v="2"/>
    <x v="0"/>
    <x v="0"/>
    <n v="2"/>
    <n v="12800"/>
    <x v="2"/>
    <n v="23040"/>
    <x v="5"/>
  </r>
  <r>
    <s v="ORD0446"/>
    <s v="C0425"/>
    <x v="94"/>
    <s v="Wireless Headphones"/>
    <x v="2"/>
    <x v="0"/>
    <x v="0"/>
    <n v="2"/>
    <n v="8500"/>
    <x v="2"/>
    <n v="15300"/>
    <x v="10"/>
  </r>
  <r>
    <s v="ORD0447"/>
    <s v="C0280"/>
    <x v="202"/>
    <s v="T-Shirt"/>
    <x v="1"/>
    <x v="0"/>
    <x v="0"/>
    <n v="1"/>
    <n v="3200"/>
    <x v="0"/>
    <n v="3200"/>
    <x v="1"/>
  </r>
  <r>
    <s v="ORD0448"/>
    <s v="C0010"/>
    <x v="185"/>
    <s v="Skincare Set"/>
    <x v="4"/>
    <x v="1"/>
    <x v="1"/>
    <n v="4"/>
    <n v="7200"/>
    <x v="2"/>
    <n v="25920"/>
    <x v="0"/>
  </r>
  <r>
    <s v="ORD0449"/>
    <s v="C0282"/>
    <x v="213"/>
    <s v="Smart Watch"/>
    <x v="2"/>
    <x v="0"/>
    <x v="1"/>
    <n v="2"/>
    <n v="12800"/>
    <x v="0"/>
    <n v="25600"/>
    <x v="2"/>
  </r>
  <r>
    <s v="ORD0450"/>
    <s v="C0321"/>
    <x v="183"/>
    <s v="Electric Kettle"/>
    <x v="0"/>
    <x v="0"/>
    <x v="0"/>
    <n v="2"/>
    <n v="4800"/>
    <x v="2"/>
    <n v="8640"/>
    <x v="9"/>
  </r>
  <r>
    <s v="ORD0451"/>
    <s v="C0473"/>
    <x v="60"/>
    <s v="Beauty Mirror"/>
    <x v="4"/>
    <x v="0"/>
    <x v="1"/>
    <n v="1"/>
    <n v="4500"/>
    <x v="4"/>
    <n v="3600"/>
    <x v="7"/>
  </r>
  <r>
    <s v="ORD0452"/>
    <s v="C0358"/>
    <x v="171"/>
    <s v="Table Lamp"/>
    <x v="0"/>
    <x v="0"/>
    <x v="0"/>
    <n v="2"/>
    <n v="5400"/>
    <x v="2"/>
    <n v="9720"/>
    <x v="6"/>
  </r>
  <r>
    <s v="ORD0453"/>
    <s v="C0314"/>
    <x v="182"/>
    <s v="Facial Cleanser"/>
    <x v="4"/>
    <x v="0"/>
    <x v="0"/>
    <n v="3"/>
    <n v="2800"/>
    <x v="1"/>
    <n v="7980"/>
    <x v="11"/>
  </r>
  <r>
    <s v="ORD0454"/>
    <s v="C0038"/>
    <x v="136"/>
    <s v="T-Shirt"/>
    <x v="1"/>
    <x v="1"/>
    <x v="0"/>
    <n v="3"/>
    <n v="3200"/>
    <x v="3"/>
    <n v="8160"/>
    <x v="1"/>
  </r>
  <r>
    <s v="ORD0455"/>
    <s v="C0212"/>
    <x v="189"/>
    <s v="Jeans"/>
    <x v="1"/>
    <x v="0"/>
    <x v="0"/>
    <n v="2"/>
    <n v="7600"/>
    <x v="3"/>
    <n v="12920"/>
    <x v="6"/>
  </r>
  <r>
    <s v="ORD0456"/>
    <s v="C0402"/>
    <x v="170"/>
    <s v="Beauty Mirror"/>
    <x v="4"/>
    <x v="0"/>
    <x v="0"/>
    <n v="1"/>
    <n v="4500"/>
    <x v="4"/>
    <n v="3600"/>
    <x v="4"/>
  </r>
  <r>
    <s v="ORD0457"/>
    <s v="C0269"/>
    <x v="222"/>
    <s v="Wireless Mouse"/>
    <x v="2"/>
    <x v="0"/>
    <x v="1"/>
    <n v="2"/>
    <n v="3500"/>
    <x v="1"/>
    <n v="6650"/>
    <x v="13"/>
  </r>
  <r>
    <s v="ORD0458"/>
    <s v="C0323"/>
    <x v="175"/>
    <s v="Coffee Maker"/>
    <x v="0"/>
    <x v="0"/>
    <x v="0"/>
    <n v="1"/>
    <n v="7600"/>
    <x v="3"/>
    <n v="6460"/>
    <x v="12"/>
  </r>
  <r>
    <s v="ORD0459"/>
    <s v="C0159"/>
    <x v="103"/>
    <s v="Wireless Headphones"/>
    <x v="2"/>
    <x v="1"/>
    <x v="0"/>
    <n v="1"/>
    <n v="8500"/>
    <x v="2"/>
    <n v="7650"/>
    <x v="8"/>
  </r>
  <r>
    <s v="ORD0460"/>
    <s v="C0333"/>
    <x v="0"/>
    <s v="Wireless Headphones"/>
    <x v="2"/>
    <x v="0"/>
    <x v="0"/>
    <n v="1"/>
    <n v="8500"/>
    <x v="1"/>
    <n v="8075"/>
    <x v="10"/>
  </r>
  <r>
    <s v="ORD0461"/>
    <s v="C0291"/>
    <x v="89"/>
    <s v="Sneakers"/>
    <x v="1"/>
    <x v="0"/>
    <x v="2"/>
    <n v="1"/>
    <n v="8900"/>
    <x v="3"/>
    <n v="7565"/>
    <x v="10"/>
  </r>
  <r>
    <s v="ORD0462"/>
    <s v="C0012"/>
    <x v="193"/>
    <s v="Skincare Set"/>
    <x v="4"/>
    <x v="1"/>
    <x v="1"/>
    <n v="4"/>
    <n v="7200"/>
    <x v="4"/>
    <n v="23040"/>
    <x v="5"/>
  </r>
  <r>
    <s v="ORD0463"/>
    <s v="C0124"/>
    <x v="224"/>
    <s v="Wireless Mouse"/>
    <x v="2"/>
    <x v="1"/>
    <x v="2"/>
    <n v="1"/>
    <n v="3500"/>
    <x v="2"/>
    <n v="3150"/>
    <x v="9"/>
  </r>
  <r>
    <s v="ORD0464"/>
    <s v="C0134"/>
    <x v="22"/>
    <s v="Wireless Mouse"/>
    <x v="2"/>
    <x v="1"/>
    <x v="0"/>
    <n v="1"/>
    <n v="3500"/>
    <x v="4"/>
    <n v="2800"/>
    <x v="2"/>
  </r>
  <r>
    <s v="ORD0465"/>
    <s v="C0045"/>
    <x v="60"/>
    <s v="Hair Dryer"/>
    <x v="4"/>
    <x v="1"/>
    <x v="0"/>
    <n v="1"/>
    <n v="6800"/>
    <x v="0"/>
    <n v="6800"/>
    <x v="4"/>
  </r>
  <r>
    <s v="ORD0466"/>
    <s v="C0417"/>
    <x v="41"/>
    <s v="Body Lotion"/>
    <x v="4"/>
    <x v="0"/>
    <x v="2"/>
    <n v="1"/>
    <n v="2400"/>
    <x v="2"/>
    <n v="2160"/>
    <x v="9"/>
  </r>
  <r>
    <s v="ORD0467"/>
    <s v="C0482"/>
    <x v="39"/>
    <s v="Jeans"/>
    <x v="1"/>
    <x v="0"/>
    <x v="2"/>
    <n v="1"/>
    <n v="7600"/>
    <x v="1"/>
    <n v="7220"/>
    <x v="1"/>
  </r>
  <r>
    <s v="ORD0468"/>
    <s v="C0036"/>
    <x v="70"/>
    <s v="Facial Cleanser"/>
    <x v="4"/>
    <x v="1"/>
    <x v="0"/>
    <n v="1"/>
    <n v="2800"/>
    <x v="3"/>
    <n v="2380"/>
    <x v="7"/>
  </r>
  <r>
    <s v="ORD0469"/>
    <s v="C0405"/>
    <x v="225"/>
    <s v="Storage Box Set"/>
    <x v="0"/>
    <x v="0"/>
    <x v="0"/>
    <n v="1"/>
    <n v="3200"/>
    <x v="0"/>
    <n v="3200"/>
    <x v="8"/>
  </r>
  <r>
    <s v="ORD0470"/>
    <s v="C0229"/>
    <x v="226"/>
    <s v="Air Fryer"/>
    <x v="0"/>
    <x v="0"/>
    <x v="1"/>
    <n v="1"/>
    <n v="9800"/>
    <x v="1"/>
    <n v="9310"/>
    <x v="11"/>
  </r>
  <r>
    <s v="ORD0471"/>
    <s v="C0096"/>
    <x v="33"/>
    <s v="Skincare Set"/>
    <x v="4"/>
    <x v="1"/>
    <x v="2"/>
    <n v="1"/>
    <n v="7200"/>
    <x v="0"/>
    <n v="7200"/>
    <x v="8"/>
  </r>
  <r>
    <s v="ORD0472"/>
    <s v="C0082"/>
    <x v="124"/>
    <s v="USB-C Hub"/>
    <x v="2"/>
    <x v="1"/>
    <x v="2"/>
    <n v="1"/>
    <n v="4200"/>
    <x v="0"/>
    <n v="4200"/>
    <x v="9"/>
  </r>
  <r>
    <s v="ORD0473"/>
    <s v="C0354"/>
    <x v="45"/>
    <s v="Jacket"/>
    <x v="1"/>
    <x v="0"/>
    <x v="0"/>
    <n v="2"/>
    <n v="11500"/>
    <x v="3"/>
    <n v="19550"/>
    <x v="9"/>
  </r>
  <r>
    <s v="ORD0474"/>
    <s v="C0262"/>
    <x v="227"/>
    <s v="USB-C Hub"/>
    <x v="2"/>
    <x v="0"/>
    <x v="0"/>
    <n v="1"/>
    <n v="4200"/>
    <x v="1"/>
    <n v="3990"/>
    <x v="1"/>
  </r>
  <r>
    <s v="ORD0475"/>
    <s v="C0240"/>
    <x v="228"/>
    <s v="Sneakers"/>
    <x v="1"/>
    <x v="0"/>
    <x v="2"/>
    <n v="2"/>
    <n v="8900"/>
    <x v="2"/>
    <n v="16020"/>
    <x v="7"/>
  </r>
  <r>
    <s v="ORD0476"/>
    <s v="C0099"/>
    <x v="229"/>
    <s v="Hoodie"/>
    <x v="1"/>
    <x v="1"/>
    <x v="0"/>
    <n v="2"/>
    <n v="5900"/>
    <x v="2"/>
    <n v="10620"/>
    <x v="2"/>
  </r>
  <r>
    <s v="ORD0477"/>
    <s v="C0185"/>
    <x v="6"/>
    <s v="Dumbbell Set"/>
    <x v="3"/>
    <x v="1"/>
    <x v="2"/>
    <n v="3"/>
    <n v="7400"/>
    <x v="2"/>
    <n v="19980"/>
    <x v="13"/>
  </r>
  <r>
    <s v="ORD0478"/>
    <s v="C0366"/>
    <x v="2"/>
    <s v="Hoodie"/>
    <x v="1"/>
    <x v="0"/>
    <x v="0"/>
    <n v="2"/>
    <n v="5900"/>
    <x v="0"/>
    <n v="11800"/>
    <x v="11"/>
  </r>
  <r>
    <s v="ORD0479"/>
    <s v="C0265"/>
    <x v="230"/>
    <s v="Facial Cleanser"/>
    <x v="4"/>
    <x v="0"/>
    <x v="1"/>
    <n v="1"/>
    <n v="2800"/>
    <x v="2"/>
    <n v="2520"/>
    <x v="7"/>
  </r>
  <r>
    <s v="ORD0480"/>
    <s v="C0315"/>
    <x v="46"/>
    <s v="Yoga Mat"/>
    <x v="3"/>
    <x v="0"/>
    <x v="0"/>
    <n v="1"/>
    <n v="3800"/>
    <x v="3"/>
    <n v="3230"/>
    <x v="10"/>
  </r>
  <r>
    <s v="ORD0481"/>
    <s v="C0224"/>
    <x v="170"/>
    <s v="Storage Box Set"/>
    <x v="0"/>
    <x v="0"/>
    <x v="2"/>
    <n v="1"/>
    <n v="3200"/>
    <x v="0"/>
    <n v="3200"/>
    <x v="12"/>
  </r>
  <r>
    <s v="ORD0482"/>
    <s v="C0302"/>
    <x v="184"/>
    <s v="USB-C Hub"/>
    <x v="2"/>
    <x v="0"/>
    <x v="2"/>
    <n v="1"/>
    <n v="4200"/>
    <x v="4"/>
    <n v="3360"/>
    <x v="5"/>
  </r>
  <r>
    <s v="ORD0483"/>
    <s v="C0413"/>
    <x v="31"/>
    <s v="Hoodie"/>
    <x v="1"/>
    <x v="0"/>
    <x v="2"/>
    <n v="1"/>
    <n v="5900"/>
    <x v="2"/>
    <n v="5310"/>
    <x v="0"/>
  </r>
  <r>
    <s v="ORD0484"/>
    <s v="C0300"/>
    <x v="154"/>
    <s v="Jeans"/>
    <x v="1"/>
    <x v="0"/>
    <x v="1"/>
    <n v="2"/>
    <n v="7600"/>
    <x v="4"/>
    <n v="12160"/>
    <x v="2"/>
  </r>
  <r>
    <s v="ORD0485"/>
    <s v="C0378"/>
    <x v="179"/>
    <s v="Electric Kettle"/>
    <x v="0"/>
    <x v="0"/>
    <x v="0"/>
    <n v="2"/>
    <n v="4800"/>
    <x v="1"/>
    <n v="9120"/>
    <x v="14"/>
  </r>
  <r>
    <s v="ORD0486"/>
    <s v="C0298"/>
    <x v="231"/>
    <s v="Wireless Headphones"/>
    <x v="2"/>
    <x v="0"/>
    <x v="0"/>
    <n v="2"/>
    <n v="8500"/>
    <x v="2"/>
    <n v="15300"/>
    <x v="9"/>
  </r>
  <r>
    <s v="ORD0487"/>
    <s v="C0336"/>
    <x v="75"/>
    <s v="T-Shirt"/>
    <x v="1"/>
    <x v="0"/>
    <x v="1"/>
    <n v="1"/>
    <n v="3200"/>
    <x v="3"/>
    <n v="2720"/>
    <x v="1"/>
  </r>
  <r>
    <s v="ORD0488"/>
    <s v="C0488"/>
    <x v="160"/>
    <s v="Fitness Band"/>
    <x v="3"/>
    <x v="0"/>
    <x v="0"/>
    <n v="1"/>
    <n v="4100"/>
    <x v="3"/>
    <n v="3485"/>
    <x v="3"/>
  </r>
  <r>
    <s v="ORD0489"/>
    <s v="C0084"/>
    <x v="167"/>
    <s v="T-Shirt"/>
    <x v="1"/>
    <x v="1"/>
    <x v="0"/>
    <n v="3"/>
    <n v="3200"/>
    <x v="1"/>
    <n v="9120"/>
    <x v="8"/>
  </r>
  <r>
    <s v="ORD0490"/>
    <s v="C0158"/>
    <x v="207"/>
    <s v="Jacket"/>
    <x v="1"/>
    <x v="1"/>
    <x v="2"/>
    <n v="2"/>
    <n v="11500"/>
    <x v="0"/>
    <n v="23000"/>
    <x v="11"/>
  </r>
  <r>
    <s v="ORD0491"/>
    <s v="C0292"/>
    <x v="210"/>
    <s v="Facial Cleanser"/>
    <x v="4"/>
    <x v="0"/>
    <x v="2"/>
    <n v="3"/>
    <n v="2800"/>
    <x v="3"/>
    <n v="7140"/>
    <x v="12"/>
  </r>
  <r>
    <s v="ORD0492"/>
    <s v="C0180"/>
    <x v="227"/>
    <s v="Hair Dryer"/>
    <x v="4"/>
    <x v="1"/>
    <x v="2"/>
    <n v="4"/>
    <n v="6800"/>
    <x v="2"/>
    <n v="24480"/>
    <x v="3"/>
  </r>
  <r>
    <s v="ORD0493"/>
    <s v="C0080"/>
    <x v="132"/>
    <s v="Wireless Mouse"/>
    <x v="2"/>
    <x v="1"/>
    <x v="2"/>
    <n v="2"/>
    <n v="3500"/>
    <x v="2"/>
    <n v="6300"/>
    <x v="2"/>
  </r>
  <r>
    <s v="ORD0494"/>
    <s v="C0123"/>
    <x v="108"/>
    <s v="Smart Watch"/>
    <x v="2"/>
    <x v="1"/>
    <x v="0"/>
    <n v="1"/>
    <n v="12800"/>
    <x v="0"/>
    <n v="12800"/>
    <x v="12"/>
  </r>
  <r>
    <s v="ORD0495"/>
    <s v="C0355"/>
    <x v="200"/>
    <s v="USB-C Hub"/>
    <x v="2"/>
    <x v="0"/>
    <x v="0"/>
    <n v="3"/>
    <n v="4200"/>
    <x v="0"/>
    <n v="12600"/>
    <x v="9"/>
  </r>
  <r>
    <s v="ORD0496"/>
    <s v="C0321"/>
    <x v="65"/>
    <s v="Jacket"/>
    <x v="1"/>
    <x v="0"/>
    <x v="1"/>
    <n v="1"/>
    <n v="11500"/>
    <x v="1"/>
    <n v="10925"/>
    <x v="4"/>
  </r>
  <r>
    <s v="ORD0497"/>
    <s v="C0289"/>
    <x v="26"/>
    <s v="Smart Watch"/>
    <x v="2"/>
    <x v="0"/>
    <x v="2"/>
    <n v="1"/>
    <n v="12800"/>
    <x v="4"/>
    <n v="10240"/>
    <x v="12"/>
  </r>
  <r>
    <s v="ORD0498"/>
    <s v="C0071"/>
    <x v="232"/>
    <s v="Sports Bag"/>
    <x v="3"/>
    <x v="1"/>
    <x v="0"/>
    <n v="4"/>
    <n v="5600"/>
    <x v="0"/>
    <n v="22400"/>
    <x v="7"/>
  </r>
  <r>
    <s v="ORD0499"/>
    <s v="C0130"/>
    <x v="233"/>
    <s v="Storage Box Set"/>
    <x v="0"/>
    <x v="1"/>
    <x v="2"/>
    <n v="1"/>
    <n v="3200"/>
    <x v="1"/>
    <n v="3040"/>
    <x v="0"/>
  </r>
  <r>
    <s v="ORD0500"/>
    <s v="C0256"/>
    <x v="216"/>
    <s v="Bluetooth Speaker"/>
    <x v="2"/>
    <x v="0"/>
    <x v="0"/>
    <n v="2"/>
    <n v="6200"/>
    <x v="0"/>
    <n v="12400"/>
    <x v="8"/>
  </r>
  <r>
    <s v="ORD0501"/>
    <s v="C0397"/>
    <x v="229"/>
    <s v="T-Shirt"/>
    <x v="1"/>
    <x v="0"/>
    <x v="0"/>
    <n v="2"/>
    <n v="3200"/>
    <x v="1"/>
    <n v="6080"/>
    <x v="13"/>
  </r>
  <r>
    <s v="ORD0502"/>
    <s v="C0295"/>
    <x v="152"/>
    <s v="Storage Box Set"/>
    <x v="0"/>
    <x v="0"/>
    <x v="0"/>
    <n v="4"/>
    <n v="3200"/>
    <x v="1"/>
    <n v="12160"/>
    <x v="5"/>
  </r>
  <r>
    <s v="ORD0503"/>
    <s v="C0388"/>
    <x v="2"/>
    <s v="Storage Box Set"/>
    <x v="0"/>
    <x v="0"/>
    <x v="0"/>
    <n v="1"/>
    <n v="3200"/>
    <x v="1"/>
    <n v="3040"/>
    <x v="6"/>
  </r>
  <r>
    <s v="ORD0504"/>
    <s v="C0104"/>
    <x v="234"/>
    <s v="Running Shoes"/>
    <x v="3"/>
    <x v="1"/>
    <x v="0"/>
    <n v="1"/>
    <n v="9200"/>
    <x v="2"/>
    <n v="8280"/>
    <x v="13"/>
  </r>
  <r>
    <s v="ORD0505"/>
    <s v="C0254"/>
    <x v="218"/>
    <s v="Hair Dryer"/>
    <x v="4"/>
    <x v="0"/>
    <x v="0"/>
    <n v="1"/>
    <n v="6800"/>
    <x v="2"/>
    <n v="6120"/>
    <x v="6"/>
  </r>
  <r>
    <s v="ORD0506"/>
    <s v="C0210"/>
    <x v="116"/>
    <s v="Body Lotion"/>
    <x v="4"/>
    <x v="1"/>
    <x v="0"/>
    <n v="1"/>
    <n v="2400"/>
    <x v="1"/>
    <n v="2280"/>
    <x v="8"/>
  </r>
  <r>
    <s v="ORD0507"/>
    <s v="C0163"/>
    <x v="115"/>
    <s v="Hoodie"/>
    <x v="1"/>
    <x v="1"/>
    <x v="2"/>
    <n v="3"/>
    <n v="5900"/>
    <x v="0"/>
    <n v="17700"/>
    <x v="8"/>
  </r>
  <r>
    <s v="ORD0508"/>
    <s v="C0457"/>
    <x v="157"/>
    <s v="Table Lamp"/>
    <x v="0"/>
    <x v="0"/>
    <x v="2"/>
    <n v="1"/>
    <n v="5400"/>
    <x v="3"/>
    <n v="4590"/>
    <x v="0"/>
  </r>
  <r>
    <s v="ORD0509"/>
    <s v="C0474"/>
    <x v="62"/>
    <s v="Storage Box Set"/>
    <x v="0"/>
    <x v="0"/>
    <x v="2"/>
    <n v="1"/>
    <n v="3200"/>
    <x v="0"/>
    <n v="3200"/>
    <x v="12"/>
  </r>
  <r>
    <s v="ORD0510"/>
    <s v="C0108"/>
    <x v="211"/>
    <s v="Wireless Mouse"/>
    <x v="2"/>
    <x v="1"/>
    <x v="2"/>
    <n v="1"/>
    <n v="3500"/>
    <x v="3"/>
    <n v="2975"/>
    <x v="11"/>
  </r>
  <r>
    <s v="ORD0511"/>
    <s v="C0203"/>
    <x v="235"/>
    <s v="Air Fryer"/>
    <x v="0"/>
    <x v="1"/>
    <x v="2"/>
    <n v="2"/>
    <n v="9800"/>
    <x v="2"/>
    <n v="17640"/>
    <x v="0"/>
  </r>
  <r>
    <s v="ORD0512"/>
    <s v="C0466"/>
    <x v="177"/>
    <s v="Wireless Mouse"/>
    <x v="2"/>
    <x v="0"/>
    <x v="1"/>
    <n v="1"/>
    <n v="3500"/>
    <x v="2"/>
    <n v="3150"/>
    <x v="3"/>
  </r>
  <r>
    <s v="ORD0513"/>
    <s v="C0469"/>
    <x v="230"/>
    <s v="Yoga Mat"/>
    <x v="3"/>
    <x v="0"/>
    <x v="0"/>
    <n v="1"/>
    <n v="3800"/>
    <x v="3"/>
    <n v="3230"/>
    <x v="14"/>
  </r>
  <r>
    <s v="ORD0514"/>
    <s v="C0483"/>
    <x v="36"/>
    <s v="Fitness Band"/>
    <x v="3"/>
    <x v="0"/>
    <x v="0"/>
    <n v="1"/>
    <n v="4100"/>
    <x v="3"/>
    <n v="3485"/>
    <x v="11"/>
  </r>
  <r>
    <s v="ORD0515"/>
    <s v="C0020"/>
    <x v="138"/>
    <s v="USB-C Hub"/>
    <x v="2"/>
    <x v="1"/>
    <x v="2"/>
    <n v="1"/>
    <n v="4200"/>
    <x v="2"/>
    <n v="3780"/>
    <x v="1"/>
  </r>
  <r>
    <s v="ORD0516"/>
    <s v="C0027"/>
    <x v="130"/>
    <s v="Fitness Band"/>
    <x v="3"/>
    <x v="1"/>
    <x v="0"/>
    <n v="1"/>
    <n v="4100"/>
    <x v="4"/>
    <n v="3280"/>
    <x v="5"/>
  </r>
  <r>
    <s v="ORD0517"/>
    <s v="C0143"/>
    <x v="236"/>
    <s v="T-Shirt"/>
    <x v="1"/>
    <x v="1"/>
    <x v="2"/>
    <n v="1"/>
    <n v="3200"/>
    <x v="0"/>
    <n v="3200"/>
    <x v="4"/>
  </r>
  <r>
    <s v="ORD0518"/>
    <s v="C0213"/>
    <x v="237"/>
    <s v="Wireless Headphones"/>
    <x v="2"/>
    <x v="0"/>
    <x v="0"/>
    <n v="2"/>
    <n v="8500"/>
    <x v="0"/>
    <n v="17000"/>
    <x v="8"/>
  </r>
  <r>
    <s v="ORD0519"/>
    <s v="C0133"/>
    <x v="238"/>
    <s v="T-Shirt"/>
    <x v="1"/>
    <x v="1"/>
    <x v="0"/>
    <n v="1"/>
    <n v="3200"/>
    <x v="1"/>
    <n v="3040"/>
    <x v="2"/>
  </r>
  <r>
    <s v="ORD0520"/>
    <s v="C0323"/>
    <x v="49"/>
    <s v="USB-C Hub"/>
    <x v="2"/>
    <x v="0"/>
    <x v="0"/>
    <n v="1"/>
    <n v="4200"/>
    <x v="0"/>
    <n v="4200"/>
    <x v="6"/>
  </r>
  <r>
    <s v="ORD0521"/>
    <s v="C0459"/>
    <x v="4"/>
    <s v="Jeans"/>
    <x v="1"/>
    <x v="0"/>
    <x v="0"/>
    <n v="1"/>
    <n v="7600"/>
    <x v="3"/>
    <n v="6460"/>
    <x v="10"/>
  </r>
  <r>
    <s v="ORD0522"/>
    <s v="C0031"/>
    <x v="239"/>
    <s v="Beauty Mirror"/>
    <x v="4"/>
    <x v="1"/>
    <x v="1"/>
    <n v="4"/>
    <n v="4500"/>
    <x v="2"/>
    <n v="16200"/>
    <x v="1"/>
  </r>
  <r>
    <s v="ORD0523"/>
    <s v="C0190"/>
    <x v="47"/>
    <s v="Jeans"/>
    <x v="1"/>
    <x v="1"/>
    <x v="0"/>
    <n v="1"/>
    <n v="7600"/>
    <x v="2"/>
    <n v="6840"/>
    <x v="13"/>
  </r>
  <r>
    <s v="ORD0524"/>
    <s v="C0145"/>
    <x v="240"/>
    <s v="Hair Dryer"/>
    <x v="4"/>
    <x v="1"/>
    <x v="2"/>
    <n v="2"/>
    <n v="6800"/>
    <x v="1"/>
    <n v="12920"/>
    <x v="4"/>
  </r>
  <r>
    <s v="ORD0525"/>
    <s v="C0246"/>
    <x v="47"/>
    <s v="Dumbbell Set"/>
    <x v="3"/>
    <x v="0"/>
    <x v="2"/>
    <n v="2"/>
    <n v="7400"/>
    <x v="0"/>
    <n v="14800"/>
    <x v="3"/>
  </r>
  <r>
    <s v="ORD0526"/>
    <s v="C0330"/>
    <x v="127"/>
    <s v="Wireless Headphones"/>
    <x v="2"/>
    <x v="0"/>
    <x v="1"/>
    <n v="1"/>
    <n v="8500"/>
    <x v="2"/>
    <n v="7650"/>
    <x v="12"/>
  </r>
  <r>
    <s v="ORD0527"/>
    <s v="C0122"/>
    <x v="104"/>
    <s v="Body Lotion"/>
    <x v="4"/>
    <x v="1"/>
    <x v="0"/>
    <n v="2"/>
    <n v="2400"/>
    <x v="2"/>
    <n v="4320"/>
    <x v="1"/>
  </r>
  <r>
    <s v="ORD0528"/>
    <s v="C0036"/>
    <x v="241"/>
    <s v="T-Shirt"/>
    <x v="1"/>
    <x v="1"/>
    <x v="0"/>
    <n v="1"/>
    <n v="3200"/>
    <x v="2"/>
    <n v="2880"/>
    <x v="6"/>
  </r>
  <r>
    <s v="ORD0529"/>
    <s v="C0331"/>
    <x v="242"/>
    <s v="Table Lamp"/>
    <x v="0"/>
    <x v="0"/>
    <x v="0"/>
    <n v="1"/>
    <n v="5400"/>
    <x v="1"/>
    <n v="5130"/>
    <x v="0"/>
  </r>
  <r>
    <s v="ORD0530"/>
    <s v="C0437"/>
    <x v="237"/>
    <s v="Wireless Mouse"/>
    <x v="2"/>
    <x v="0"/>
    <x v="0"/>
    <n v="1"/>
    <n v="3500"/>
    <x v="1"/>
    <n v="3325"/>
    <x v="12"/>
  </r>
  <r>
    <s v="ORD0531"/>
    <s v="C0394"/>
    <x v="218"/>
    <s v="Dumbbell Set"/>
    <x v="3"/>
    <x v="0"/>
    <x v="1"/>
    <n v="3"/>
    <n v="7400"/>
    <x v="2"/>
    <n v="19980"/>
    <x v="14"/>
  </r>
  <r>
    <s v="ORD0532"/>
    <s v="C0194"/>
    <x v="91"/>
    <s v="Hoodie"/>
    <x v="1"/>
    <x v="1"/>
    <x v="2"/>
    <n v="1"/>
    <n v="5900"/>
    <x v="4"/>
    <n v="4720"/>
    <x v="3"/>
  </r>
  <r>
    <s v="ORD0533"/>
    <s v="C0124"/>
    <x v="101"/>
    <s v="Beauty Mirror"/>
    <x v="4"/>
    <x v="1"/>
    <x v="0"/>
    <n v="2"/>
    <n v="4500"/>
    <x v="0"/>
    <n v="9000"/>
    <x v="11"/>
  </r>
  <r>
    <s v="ORD0534"/>
    <s v="C0248"/>
    <x v="12"/>
    <s v="Dumbbell Set"/>
    <x v="3"/>
    <x v="0"/>
    <x v="0"/>
    <n v="1"/>
    <n v="7400"/>
    <x v="1"/>
    <n v="7030"/>
    <x v="3"/>
  </r>
  <r>
    <s v="ORD0535"/>
    <s v="C0249"/>
    <x v="154"/>
    <s v="Table Lamp"/>
    <x v="0"/>
    <x v="0"/>
    <x v="2"/>
    <n v="1"/>
    <n v="5400"/>
    <x v="0"/>
    <n v="5400"/>
    <x v="14"/>
  </r>
  <r>
    <s v="ORD0536"/>
    <s v="C0414"/>
    <x v="243"/>
    <s v="Coffee Maker"/>
    <x v="0"/>
    <x v="0"/>
    <x v="0"/>
    <n v="4"/>
    <n v="7600"/>
    <x v="2"/>
    <n v="27360"/>
    <x v="2"/>
  </r>
  <r>
    <s v="ORD0537"/>
    <s v="C0139"/>
    <x v="18"/>
    <s v="Hoodie"/>
    <x v="1"/>
    <x v="1"/>
    <x v="1"/>
    <n v="1"/>
    <n v="5900"/>
    <x v="4"/>
    <n v="4720"/>
    <x v="0"/>
  </r>
  <r>
    <s v="ORD0538"/>
    <s v="C0165"/>
    <x v="90"/>
    <s v="Smart Watch"/>
    <x v="2"/>
    <x v="1"/>
    <x v="2"/>
    <n v="2"/>
    <n v="12800"/>
    <x v="1"/>
    <n v="24320"/>
    <x v="10"/>
  </r>
  <r>
    <s v="ORD0539"/>
    <s v="C0162"/>
    <x v="20"/>
    <s v="Facial Cleanser"/>
    <x v="4"/>
    <x v="1"/>
    <x v="0"/>
    <n v="3"/>
    <n v="2800"/>
    <x v="4"/>
    <n v="6720"/>
    <x v="6"/>
  </r>
  <r>
    <s v="ORD0540"/>
    <s v="C0329"/>
    <x v="105"/>
    <s v="Beauty Mirror"/>
    <x v="4"/>
    <x v="0"/>
    <x v="0"/>
    <n v="1"/>
    <n v="4500"/>
    <x v="0"/>
    <n v="4500"/>
    <x v="12"/>
  </r>
  <r>
    <s v="ORD0541"/>
    <s v="C0371"/>
    <x v="76"/>
    <s v="Yoga Mat"/>
    <x v="3"/>
    <x v="0"/>
    <x v="0"/>
    <n v="1"/>
    <n v="3800"/>
    <x v="2"/>
    <n v="3420"/>
    <x v="10"/>
  </r>
  <r>
    <s v="ORD0542"/>
    <s v="C0330"/>
    <x v="244"/>
    <s v="T-Shirt"/>
    <x v="1"/>
    <x v="0"/>
    <x v="0"/>
    <n v="2"/>
    <n v="3200"/>
    <x v="1"/>
    <n v="6080"/>
    <x v="4"/>
  </r>
  <r>
    <s v="ORD0543"/>
    <s v="C0417"/>
    <x v="245"/>
    <s v="Jeans"/>
    <x v="1"/>
    <x v="0"/>
    <x v="0"/>
    <n v="1"/>
    <n v="7600"/>
    <x v="0"/>
    <n v="7600"/>
    <x v="5"/>
  </r>
  <r>
    <s v="ORD0544"/>
    <s v="C0219"/>
    <x v="209"/>
    <s v="Air Fryer"/>
    <x v="0"/>
    <x v="0"/>
    <x v="2"/>
    <n v="2"/>
    <n v="9800"/>
    <x v="1"/>
    <n v="18620"/>
    <x v="2"/>
  </r>
  <r>
    <s v="ORD0545"/>
    <s v="C0238"/>
    <x v="141"/>
    <s v="Storage Box Set"/>
    <x v="0"/>
    <x v="0"/>
    <x v="2"/>
    <n v="3"/>
    <n v="3200"/>
    <x v="4"/>
    <n v="7680"/>
    <x v="14"/>
  </r>
  <r>
    <s v="ORD0546"/>
    <s v="C0190"/>
    <x v="246"/>
    <s v="Electric Kettle"/>
    <x v="0"/>
    <x v="1"/>
    <x v="0"/>
    <n v="1"/>
    <n v="4800"/>
    <x v="0"/>
    <n v="4800"/>
    <x v="0"/>
  </r>
  <r>
    <s v="ORD0547"/>
    <s v="C0293"/>
    <x v="232"/>
    <s v="Skincare Set"/>
    <x v="4"/>
    <x v="0"/>
    <x v="0"/>
    <n v="1"/>
    <n v="7200"/>
    <x v="0"/>
    <n v="7200"/>
    <x v="9"/>
  </r>
  <r>
    <s v="ORD0548"/>
    <s v="C0343"/>
    <x v="181"/>
    <s v="Body Lotion"/>
    <x v="4"/>
    <x v="0"/>
    <x v="0"/>
    <n v="1"/>
    <n v="2400"/>
    <x v="1"/>
    <n v="2280"/>
    <x v="0"/>
  </r>
  <r>
    <s v="ORD0549"/>
    <s v="C0082"/>
    <x v="160"/>
    <s v="Electric Kettle"/>
    <x v="0"/>
    <x v="1"/>
    <x v="2"/>
    <n v="2"/>
    <n v="4800"/>
    <x v="2"/>
    <n v="8640"/>
    <x v="13"/>
  </r>
  <r>
    <s v="ORD0550"/>
    <s v="C0236"/>
    <x v="69"/>
    <s v="Bluetooth Speaker"/>
    <x v="2"/>
    <x v="0"/>
    <x v="0"/>
    <n v="2"/>
    <n v="6200"/>
    <x v="1"/>
    <n v="11780"/>
    <x v="11"/>
  </r>
  <r>
    <s v="ORD0551"/>
    <s v="C0034"/>
    <x v="79"/>
    <s v="USB-C Hub"/>
    <x v="2"/>
    <x v="1"/>
    <x v="0"/>
    <n v="2"/>
    <n v="4200"/>
    <x v="1"/>
    <n v="7980"/>
    <x v="3"/>
  </r>
  <r>
    <s v="ORD0552"/>
    <s v="C0435"/>
    <x v="122"/>
    <s v="Fitness Band"/>
    <x v="3"/>
    <x v="0"/>
    <x v="2"/>
    <n v="1"/>
    <n v="4100"/>
    <x v="1"/>
    <n v="3895"/>
    <x v="14"/>
  </r>
  <r>
    <s v="ORD0553"/>
    <s v="C0146"/>
    <x v="247"/>
    <s v="Jacket"/>
    <x v="1"/>
    <x v="1"/>
    <x v="1"/>
    <n v="1"/>
    <n v="11500"/>
    <x v="1"/>
    <n v="10925"/>
    <x v="13"/>
  </r>
  <r>
    <s v="ORD0554"/>
    <s v="C0375"/>
    <x v="119"/>
    <s v="Running Shoes"/>
    <x v="3"/>
    <x v="0"/>
    <x v="0"/>
    <n v="3"/>
    <n v="9200"/>
    <x v="0"/>
    <n v="27600"/>
    <x v="1"/>
  </r>
  <r>
    <s v="ORD0555"/>
    <s v="C0495"/>
    <x v="152"/>
    <s v="Dumbbell Set"/>
    <x v="3"/>
    <x v="0"/>
    <x v="0"/>
    <n v="1"/>
    <n v="7400"/>
    <x v="1"/>
    <n v="7030"/>
    <x v="12"/>
  </r>
  <r>
    <s v="ORD0556"/>
    <s v="C0414"/>
    <x v="18"/>
    <s v="Beauty Mirror"/>
    <x v="4"/>
    <x v="0"/>
    <x v="2"/>
    <n v="1"/>
    <n v="4500"/>
    <x v="1"/>
    <n v="4275"/>
    <x v="2"/>
  </r>
  <r>
    <s v="ORD0557"/>
    <s v="C0109"/>
    <x v="248"/>
    <s v="Table Lamp"/>
    <x v="0"/>
    <x v="1"/>
    <x v="2"/>
    <n v="1"/>
    <n v="5400"/>
    <x v="2"/>
    <n v="4860"/>
    <x v="8"/>
  </r>
  <r>
    <s v="ORD0558"/>
    <s v="C0367"/>
    <x v="141"/>
    <s v="Smart Watch"/>
    <x v="2"/>
    <x v="0"/>
    <x v="2"/>
    <n v="2"/>
    <n v="12800"/>
    <x v="0"/>
    <n v="25600"/>
    <x v="3"/>
  </r>
  <r>
    <s v="ORD0559"/>
    <s v="C0473"/>
    <x v="129"/>
    <s v="Sports Bag"/>
    <x v="3"/>
    <x v="0"/>
    <x v="1"/>
    <n v="1"/>
    <n v="5600"/>
    <x v="4"/>
    <n v="4480"/>
    <x v="4"/>
  </r>
  <r>
    <s v="ORD0560"/>
    <s v="C0223"/>
    <x v="72"/>
    <s v="Wireless Mouse"/>
    <x v="2"/>
    <x v="0"/>
    <x v="0"/>
    <n v="4"/>
    <n v="3500"/>
    <x v="0"/>
    <n v="14000"/>
    <x v="5"/>
  </r>
  <r>
    <s v="ORD0561"/>
    <s v="C0118"/>
    <x v="41"/>
    <s v="Bluetooth Speaker"/>
    <x v="2"/>
    <x v="1"/>
    <x v="2"/>
    <n v="3"/>
    <n v="6200"/>
    <x v="2"/>
    <n v="16740"/>
    <x v="3"/>
  </r>
  <r>
    <s v="ORD0562"/>
    <s v="C0011"/>
    <x v="108"/>
    <s v="Wireless Headphones"/>
    <x v="2"/>
    <x v="1"/>
    <x v="0"/>
    <n v="3"/>
    <n v="8500"/>
    <x v="3"/>
    <n v="21675"/>
    <x v="7"/>
  </r>
  <r>
    <s v="ORD0563"/>
    <s v="C0284"/>
    <x v="249"/>
    <s v="Jeans"/>
    <x v="1"/>
    <x v="0"/>
    <x v="0"/>
    <n v="3"/>
    <n v="7600"/>
    <x v="1"/>
    <n v="21660"/>
    <x v="2"/>
  </r>
  <r>
    <s v="ORD0564"/>
    <s v="C0074"/>
    <x v="189"/>
    <s v="Sneakers"/>
    <x v="1"/>
    <x v="1"/>
    <x v="2"/>
    <n v="1"/>
    <n v="8900"/>
    <x v="3"/>
    <n v="7565"/>
    <x v="4"/>
  </r>
  <r>
    <s v="ORD0565"/>
    <s v="C0455"/>
    <x v="152"/>
    <s v="Table Lamp"/>
    <x v="0"/>
    <x v="0"/>
    <x v="2"/>
    <n v="1"/>
    <n v="5400"/>
    <x v="1"/>
    <n v="5130"/>
    <x v="7"/>
  </r>
  <r>
    <s v="ORD0566"/>
    <s v="C0378"/>
    <x v="126"/>
    <s v="Jeans"/>
    <x v="1"/>
    <x v="0"/>
    <x v="2"/>
    <n v="4"/>
    <n v="7600"/>
    <x v="0"/>
    <n v="30400"/>
    <x v="3"/>
  </r>
  <r>
    <s v="ORD0567"/>
    <s v="C0035"/>
    <x v="162"/>
    <s v="Skincare Set"/>
    <x v="4"/>
    <x v="1"/>
    <x v="2"/>
    <n v="1"/>
    <n v="7200"/>
    <x v="1"/>
    <n v="6840"/>
    <x v="7"/>
  </r>
  <r>
    <s v="ORD0568"/>
    <s v="C0424"/>
    <x v="157"/>
    <s v="Body Lotion"/>
    <x v="4"/>
    <x v="0"/>
    <x v="0"/>
    <n v="1"/>
    <n v="2400"/>
    <x v="2"/>
    <n v="2160"/>
    <x v="6"/>
  </r>
  <r>
    <s v="ORD0569"/>
    <s v="C0394"/>
    <x v="190"/>
    <s v="Hair Dryer"/>
    <x v="4"/>
    <x v="0"/>
    <x v="1"/>
    <n v="3"/>
    <n v="6800"/>
    <x v="0"/>
    <n v="20400"/>
    <x v="9"/>
  </r>
  <r>
    <s v="ORD0570"/>
    <s v="C0438"/>
    <x v="43"/>
    <s v="Running Shoes"/>
    <x v="3"/>
    <x v="0"/>
    <x v="2"/>
    <n v="2"/>
    <n v="9200"/>
    <x v="4"/>
    <n v="14720"/>
    <x v="1"/>
  </r>
  <r>
    <s v="ORD0571"/>
    <s v="C0239"/>
    <x v="95"/>
    <s v="Running Shoes"/>
    <x v="3"/>
    <x v="0"/>
    <x v="1"/>
    <n v="1"/>
    <n v="9200"/>
    <x v="0"/>
    <n v="9200"/>
    <x v="4"/>
  </r>
  <r>
    <s v="ORD0572"/>
    <s v="C0134"/>
    <x v="144"/>
    <s v="Bluetooth Speaker"/>
    <x v="2"/>
    <x v="1"/>
    <x v="0"/>
    <n v="2"/>
    <n v="6200"/>
    <x v="4"/>
    <n v="9920"/>
    <x v="10"/>
  </r>
  <r>
    <s v="ORD0573"/>
    <s v="C0477"/>
    <x v="47"/>
    <s v="Table Lamp"/>
    <x v="0"/>
    <x v="0"/>
    <x v="1"/>
    <n v="1"/>
    <n v="5400"/>
    <x v="0"/>
    <n v="5400"/>
    <x v="13"/>
  </r>
  <r>
    <s v="ORD0574"/>
    <s v="C0092"/>
    <x v="166"/>
    <s v="Air Fryer"/>
    <x v="0"/>
    <x v="1"/>
    <x v="2"/>
    <n v="1"/>
    <n v="9800"/>
    <x v="1"/>
    <n v="9310"/>
    <x v="4"/>
  </r>
  <r>
    <s v="ORD0575"/>
    <s v="C0289"/>
    <x v="204"/>
    <s v="Beauty Mirror"/>
    <x v="4"/>
    <x v="0"/>
    <x v="0"/>
    <n v="3"/>
    <n v="4500"/>
    <x v="3"/>
    <n v="11475"/>
    <x v="9"/>
  </r>
  <r>
    <s v="ORD0576"/>
    <s v="C0249"/>
    <x v="9"/>
    <s v="Storage Box Set"/>
    <x v="0"/>
    <x v="0"/>
    <x v="1"/>
    <n v="1"/>
    <n v="3200"/>
    <x v="4"/>
    <n v="2560"/>
    <x v="0"/>
  </r>
  <r>
    <s v="ORD0577"/>
    <s v="C0049"/>
    <x v="206"/>
    <s v="Body Lotion"/>
    <x v="4"/>
    <x v="1"/>
    <x v="0"/>
    <n v="1"/>
    <n v="2400"/>
    <x v="2"/>
    <n v="2160"/>
    <x v="9"/>
  </r>
  <r>
    <s v="ORD0578"/>
    <s v="C0092"/>
    <x v="57"/>
    <s v="Sports Bag"/>
    <x v="3"/>
    <x v="1"/>
    <x v="1"/>
    <n v="2"/>
    <n v="5600"/>
    <x v="4"/>
    <n v="8960"/>
    <x v="14"/>
  </r>
  <r>
    <s v="ORD0579"/>
    <s v="C0431"/>
    <x v="116"/>
    <s v="Smart Watch"/>
    <x v="2"/>
    <x v="0"/>
    <x v="1"/>
    <n v="1"/>
    <n v="12800"/>
    <x v="0"/>
    <n v="12800"/>
    <x v="6"/>
  </r>
  <r>
    <s v="ORD0580"/>
    <s v="C0379"/>
    <x v="26"/>
    <s v="USB-C Hub"/>
    <x v="2"/>
    <x v="0"/>
    <x v="0"/>
    <n v="2"/>
    <n v="4200"/>
    <x v="0"/>
    <n v="8400"/>
    <x v="5"/>
  </r>
  <r>
    <s v="ORD0581"/>
    <s v="C0235"/>
    <x v="81"/>
    <s v="Air Fryer"/>
    <x v="0"/>
    <x v="0"/>
    <x v="2"/>
    <n v="1"/>
    <n v="9800"/>
    <x v="0"/>
    <n v="9800"/>
    <x v="13"/>
  </r>
  <r>
    <s v="ORD0582"/>
    <s v="C0281"/>
    <x v="161"/>
    <s v="Sneakers"/>
    <x v="1"/>
    <x v="0"/>
    <x v="2"/>
    <n v="1"/>
    <n v="8900"/>
    <x v="3"/>
    <n v="7565"/>
    <x v="0"/>
  </r>
  <r>
    <s v="ORD0583"/>
    <s v="C0109"/>
    <x v="250"/>
    <s v="Beauty Mirror"/>
    <x v="4"/>
    <x v="1"/>
    <x v="1"/>
    <n v="1"/>
    <n v="4500"/>
    <x v="1"/>
    <n v="4275"/>
    <x v="1"/>
  </r>
  <r>
    <s v="ORD0584"/>
    <s v="C0486"/>
    <x v="222"/>
    <s v="Wireless Mouse"/>
    <x v="2"/>
    <x v="0"/>
    <x v="1"/>
    <n v="2"/>
    <n v="3500"/>
    <x v="3"/>
    <n v="5950"/>
    <x v="11"/>
  </r>
  <r>
    <s v="ORD0585"/>
    <s v="C0439"/>
    <x v="197"/>
    <s v="Yoga Mat"/>
    <x v="3"/>
    <x v="0"/>
    <x v="0"/>
    <n v="2"/>
    <n v="3800"/>
    <x v="3"/>
    <n v="6460"/>
    <x v="5"/>
  </r>
  <r>
    <s v="ORD0586"/>
    <s v="C0420"/>
    <x v="75"/>
    <s v="Sneakers"/>
    <x v="1"/>
    <x v="0"/>
    <x v="0"/>
    <n v="3"/>
    <n v="8900"/>
    <x v="2"/>
    <n v="24030"/>
    <x v="7"/>
  </r>
  <r>
    <s v="ORD0587"/>
    <s v="C0359"/>
    <x v="102"/>
    <s v="Body Lotion"/>
    <x v="4"/>
    <x v="0"/>
    <x v="0"/>
    <n v="1"/>
    <n v="2400"/>
    <x v="1"/>
    <n v="2280"/>
    <x v="11"/>
  </r>
  <r>
    <s v="ORD0588"/>
    <s v="C0366"/>
    <x v="243"/>
    <s v="Wireless Headphones"/>
    <x v="2"/>
    <x v="0"/>
    <x v="2"/>
    <n v="3"/>
    <n v="8500"/>
    <x v="1"/>
    <n v="24225"/>
    <x v="8"/>
  </r>
  <r>
    <s v="ORD0589"/>
    <s v="C0337"/>
    <x v="84"/>
    <s v="Facial Cleanser"/>
    <x v="4"/>
    <x v="0"/>
    <x v="2"/>
    <n v="2"/>
    <n v="2800"/>
    <x v="2"/>
    <n v="5040"/>
    <x v="8"/>
  </r>
  <r>
    <s v="ORD0590"/>
    <s v="C0008"/>
    <x v="207"/>
    <s v="Jacket"/>
    <x v="1"/>
    <x v="1"/>
    <x v="2"/>
    <n v="1"/>
    <n v="11500"/>
    <x v="2"/>
    <n v="10350"/>
    <x v="8"/>
  </r>
  <r>
    <s v="ORD0591"/>
    <s v="C0021"/>
    <x v="174"/>
    <s v="Yoga Mat"/>
    <x v="3"/>
    <x v="1"/>
    <x v="2"/>
    <n v="4"/>
    <n v="3800"/>
    <x v="3"/>
    <n v="12920"/>
    <x v="3"/>
  </r>
  <r>
    <s v="ORD0592"/>
    <s v="C0464"/>
    <x v="83"/>
    <s v="Body Lotion"/>
    <x v="4"/>
    <x v="0"/>
    <x v="0"/>
    <n v="1"/>
    <n v="2400"/>
    <x v="4"/>
    <n v="1920"/>
    <x v="14"/>
  </r>
  <r>
    <s v="ORD0593"/>
    <s v="C0304"/>
    <x v="193"/>
    <s v="USB-C Hub"/>
    <x v="2"/>
    <x v="0"/>
    <x v="0"/>
    <n v="1"/>
    <n v="4200"/>
    <x v="4"/>
    <n v="3360"/>
    <x v="11"/>
  </r>
  <r>
    <s v="ORD0594"/>
    <s v="C0377"/>
    <x v="172"/>
    <s v="Wireless Mouse"/>
    <x v="2"/>
    <x v="0"/>
    <x v="0"/>
    <n v="1"/>
    <n v="3500"/>
    <x v="0"/>
    <n v="3500"/>
    <x v="6"/>
  </r>
  <r>
    <s v="ORD0595"/>
    <s v="C0202"/>
    <x v="73"/>
    <s v="Hoodie"/>
    <x v="1"/>
    <x v="1"/>
    <x v="2"/>
    <n v="3"/>
    <n v="5900"/>
    <x v="0"/>
    <n v="17700"/>
    <x v="11"/>
  </r>
  <r>
    <s v="ORD0596"/>
    <s v="C0394"/>
    <x v="248"/>
    <s v="Beauty Mirror"/>
    <x v="4"/>
    <x v="0"/>
    <x v="0"/>
    <n v="2"/>
    <n v="4500"/>
    <x v="1"/>
    <n v="8550"/>
    <x v="0"/>
  </r>
  <r>
    <s v="ORD0597"/>
    <s v="C0109"/>
    <x v="224"/>
    <s v="Jeans"/>
    <x v="1"/>
    <x v="1"/>
    <x v="2"/>
    <n v="1"/>
    <n v="7600"/>
    <x v="1"/>
    <n v="7220"/>
    <x v="7"/>
  </r>
  <r>
    <s v="ORD0598"/>
    <s v="C0341"/>
    <x v="48"/>
    <s v="Facial Cleanser"/>
    <x v="4"/>
    <x v="0"/>
    <x v="0"/>
    <n v="1"/>
    <n v="2800"/>
    <x v="1"/>
    <n v="2660"/>
    <x v="9"/>
  </r>
  <r>
    <s v="ORD0599"/>
    <s v="C0499"/>
    <x v="62"/>
    <s v="Jeans"/>
    <x v="1"/>
    <x v="0"/>
    <x v="0"/>
    <n v="1"/>
    <n v="7600"/>
    <x v="1"/>
    <n v="7220"/>
    <x v="5"/>
  </r>
  <r>
    <s v="ORD0600"/>
    <s v="C0261"/>
    <x v="73"/>
    <s v="Bluetooth Speaker"/>
    <x v="2"/>
    <x v="0"/>
    <x v="2"/>
    <n v="2"/>
    <n v="6200"/>
    <x v="0"/>
    <n v="12400"/>
    <x v="7"/>
  </r>
  <r>
    <s v="ORD0601"/>
    <s v="C0295"/>
    <x v="152"/>
    <s v="Sneakers"/>
    <x v="1"/>
    <x v="0"/>
    <x v="0"/>
    <n v="2"/>
    <n v="8900"/>
    <x v="0"/>
    <n v="17800"/>
    <x v="4"/>
  </r>
  <r>
    <s v="ORD0602"/>
    <s v="C0262"/>
    <x v="74"/>
    <s v="Table Lamp"/>
    <x v="0"/>
    <x v="0"/>
    <x v="1"/>
    <n v="1"/>
    <n v="5400"/>
    <x v="0"/>
    <n v="5400"/>
    <x v="2"/>
  </r>
  <r>
    <s v="ORD0603"/>
    <s v="C0137"/>
    <x v="135"/>
    <s v="Beauty Mirror"/>
    <x v="4"/>
    <x v="1"/>
    <x v="0"/>
    <n v="1"/>
    <n v="4500"/>
    <x v="2"/>
    <n v="4050"/>
    <x v="1"/>
  </r>
  <r>
    <s v="ORD0604"/>
    <s v="C0415"/>
    <x v="248"/>
    <s v="Wireless Headphones"/>
    <x v="2"/>
    <x v="0"/>
    <x v="2"/>
    <n v="1"/>
    <n v="8500"/>
    <x v="2"/>
    <n v="7650"/>
    <x v="2"/>
  </r>
  <r>
    <s v="ORD0605"/>
    <s v="C0105"/>
    <x v="145"/>
    <s v="Table Lamp"/>
    <x v="0"/>
    <x v="1"/>
    <x v="2"/>
    <n v="2"/>
    <n v="5400"/>
    <x v="2"/>
    <n v="9720"/>
    <x v="11"/>
  </r>
  <r>
    <s v="ORD0606"/>
    <s v="C0430"/>
    <x v="64"/>
    <s v="USB-C Hub"/>
    <x v="2"/>
    <x v="0"/>
    <x v="0"/>
    <n v="2"/>
    <n v="4200"/>
    <x v="2"/>
    <n v="7560"/>
    <x v="0"/>
  </r>
  <r>
    <s v="ORD0607"/>
    <s v="C0413"/>
    <x v="130"/>
    <s v="Running Shoes"/>
    <x v="3"/>
    <x v="0"/>
    <x v="0"/>
    <n v="1"/>
    <n v="9200"/>
    <x v="4"/>
    <n v="7360"/>
    <x v="7"/>
  </r>
  <r>
    <s v="ORD0608"/>
    <s v="C0498"/>
    <x v="13"/>
    <s v="Storage Box Set"/>
    <x v="0"/>
    <x v="0"/>
    <x v="2"/>
    <n v="2"/>
    <n v="3200"/>
    <x v="2"/>
    <n v="5760"/>
    <x v="8"/>
  </r>
  <r>
    <s v="ORD0609"/>
    <s v="C0225"/>
    <x v="70"/>
    <s v="Wireless Mouse"/>
    <x v="2"/>
    <x v="0"/>
    <x v="0"/>
    <n v="2"/>
    <n v="3500"/>
    <x v="0"/>
    <n v="7000"/>
    <x v="11"/>
  </r>
  <r>
    <s v="ORD0610"/>
    <s v="C0391"/>
    <x v="61"/>
    <s v="Sports Bag"/>
    <x v="3"/>
    <x v="0"/>
    <x v="2"/>
    <n v="3"/>
    <n v="5600"/>
    <x v="3"/>
    <n v="14280"/>
    <x v="3"/>
  </r>
  <r>
    <s v="ORD0611"/>
    <s v="C0344"/>
    <x v="172"/>
    <s v="Wireless Headphones"/>
    <x v="2"/>
    <x v="0"/>
    <x v="1"/>
    <n v="1"/>
    <n v="8500"/>
    <x v="1"/>
    <n v="8075"/>
    <x v="10"/>
  </r>
  <r>
    <s v="ORD0612"/>
    <s v="C0335"/>
    <x v="43"/>
    <s v="Storage Box Set"/>
    <x v="0"/>
    <x v="0"/>
    <x v="0"/>
    <n v="1"/>
    <n v="3200"/>
    <x v="0"/>
    <n v="3200"/>
    <x v="6"/>
  </r>
  <r>
    <s v="ORD0613"/>
    <s v="C0299"/>
    <x v="42"/>
    <s v="Hoodie"/>
    <x v="1"/>
    <x v="0"/>
    <x v="0"/>
    <n v="2"/>
    <n v="5900"/>
    <x v="2"/>
    <n v="10620"/>
    <x v="12"/>
  </r>
  <r>
    <s v="ORD0614"/>
    <s v="C0354"/>
    <x v="137"/>
    <s v="Body Lotion"/>
    <x v="4"/>
    <x v="0"/>
    <x v="2"/>
    <n v="3"/>
    <n v="2400"/>
    <x v="2"/>
    <n v="6480"/>
    <x v="13"/>
  </r>
  <r>
    <s v="ORD0615"/>
    <s v="C0060"/>
    <x v="170"/>
    <s v="Storage Box Set"/>
    <x v="0"/>
    <x v="1"/>
    <x v="2"/>
    <n v="2"/>
    <n v="3200"/>
    <x v="1"/>
    <n v="6080"/>
    <x v="14"/>
  </r>
  <r>
    <s v="ORD0616"/>
    <s v="C0062"/>
    <x v="112"/>
    <s v="Bluetooth Speaker"/>
    <x v="2"/>
    <x v="1"/>
    <x v="2"/>
    <n v="1"/>
    <n v="6200"/>
    <x v="0"/>
    <n v="6200"/>
    <x v="9"/>
  </r>
  <r>
    <s v="ORD0617"/>
    <s v="C0435"/>
    <x v="87"/>
    <s v="Table Lamp"/>
    <x v="0"/>
    <x v="0"/>
    <x v="2"/>
    <n v="2"/>
    <n v="5400"/>
    <x v="1"/>
    <n v="10260"/>
    <x v="3"/>
  </r>
  <r>
    <s v="ORD0618"/>
    <s v="C0174"/>
    <x v="19"/>
    <s v="Table Lamp"/>
    <x v="0"/>
    <x v="1"/>
    <x v="0"/>
    <n v="2"/>
    <n v="5400"/>
    <x v="4"/>
    <n v="8640"/>
    <x v="8"/>
  </r>
  <r>
    <s v="ORD0619"/>
    <s v="C0325"/>
    <x v="230"/>
    <s v="Air Fryer"/>
    <x v="0"/>
    <x v="0"/>
    <x v="1"/>
    <n v="2"/>
    <n v="9800"/>
    <x v="1"/>
    <n v="18620"/>
    <x v="14"/>
  </r>
  <r>
    <s v="ORD0620"/>
    <s v="C0464"/>
    <x v="198"/>
    <s v="Jeans"/>
    <x v="1"/>
    <x v="0"/>
    <x v="2"/>
    <n v="1"/>
    <n v="7600"/>
    <x v="2"/>
    <n v="6840"/>
    <x v="10"/>
  </r>
  <r>
    <s v="ORD0621"/>
    <s v="C0033"/>
    <x v="91"/>
    <s v="Beauty Mirror"/>
    <x v="4"/>
    <x v="1"/>
    <x v="0"/>
    <n v="4"/>
    <n v="4500"/>
    <x v="0"/>
    <n v="18000"/>
    <x v="9"/>
  </r>
  <r>
    <s v="ORD0622"/>
    <s v="C0455"/>
    <x v="207"/>
    <s v="Facial Cleanser"/>
    <x v="4"/>
    <x v="0"/>
    <x v="0"/>
    <n v="1"/>
    <n v="2800"/>
    <x v="2"/>
    <n v="2520"/>
    <x v="3"/>
  </r>
  <r>
    <s v="ORD0623"/>
    <s v="C0365"/>
    <x v="104"/>
    <s v="Hoodie"/>
    <x v="1"/>
    <x v="0"/>
    <x v="0"/>
    <n v="2"/>
    <n v="5900"/>
    <x v="0"/>
    <n v="11800"/>
    <x v="13"/>
  </r>
  <r>
    <s v="ORD0624"/>
    <s v="C0146"/>
    <x v="168"/>
    <s v="Sneakers"/>
    <x v="1"/>
    <x v="1"/>
    <x v="0"/>
    <n v="3"/>
    <n v="8900"/>
    <x v="0"/>
    <n v="26700"/>
    <x v="12"/>
  </r>
  <r>
    <s v="ORD0625"/>
    <s v="C0083"/>
    <x v="69"/>
    <s v="Fitness Band"/>
    <x v="3"/>
    <x v="1"/>
    <x v="0"/>
    <n v="1"/>
    <n v="4100"/>
    <x v="2"/>
    <n v="3690"/>
    <x v="6"/>
  </r>
  <r>
    <s v="ORD0626"/>
    <s v="C0462"/>
    <x v="251"/>
    <s v="Table Lamp"/>
    <x v="0"/>
    <x v="0"/>
    <x v="0"/>
    <n v="3"/>
    <n v="5400"/>
    <x v="3"/>
    <n v="13770"/>
    <x v="11"/>
  </r>
  <r>
    <s v="ORD0627"/>
    <s v="C0038"/>
    <x v="146"/>
    <s v="Electric Kettle"/>
    <x v="0"/>
    <x v="1"/>
    <x v="0"/>
    <n v="2"/>
    <n v="4800"/>
    <x v="4"/>
    <n v="7680"/>
    <x v="3"/>
  </r>
  <r>
    <s v="ORD0628"/>
    <s v="C0426"/>
    <x v="87"/>
    <s v="Running Shoes"/>
    <x v="3"/>
    <x v="0"/>
    <x v="0"/>
    <n v="1"/>
    <n v="9200"/>
    <x v="2"/>
    <n v="8280"/>
    <x v="12"/>
  </r>
  <r>
    <s v="ORD0629"/>
    <s v="C0494"/>
    <x v="128"/>
    <s v="Jacket"/>
    <x v="1"/>
    <x v="0"/>
    <x v="1"/>
    <n v="1"/>
    <n v="11500"/>
    <x v="0"/>
    <n v="11500"/>
    <x v="1"/>
  </r>
  <r>
    <s v="ORD0630"/>
    <s v="C0170"/>
    <x v="74"/>
    <s v="T-Shirt"/>
    <x v="1"/>
    <x v="1"/>
    <x v="1"/>
    <n v="1"/>
    <n v="3200"/>
    <x v="0"/>
    <n v="3200"/>
    <x v="10"/>
  </r>
  <r>
    <s v="ORD0631"/>
    <s v="C0418"/>
    <x v="252"/>
    <s v="Beauty Mirror"/>
    <x v="4"/>
    <x v="0"/>
    <x v="1"/>
    <n v="1"/>
    <n v="4500"/>
    <x v="1"/>
    <n v="4275"/>
    <x v="3"/>
  </r>
  <r>
    <s v="ORD0632"/>
    <s v="C0377"/>
    <x v="2"/>
    <s v="T-Shirt"/>
    <x v="1"/>
    <x v="0"/>
    <x v="2"/>
    <n v="2"/>
    <n v="3200"/>
    <x v="3"/>
    <n v="5440"/>
    <x v="3"/>
  </r>
  <r>
    <s v="ORD0633"/>
    <s v="C0196"/>
    <x v="4"/>
    <s v="Yoga Mat"/>
    <x v="3"/>
    <x v="1"/>
    <x v="2"/>
    <n v="1"/>
    <n v="3800"/>
    <x v="0"/>
    <n v="3800"/>
    <x v="12"/>
  </r>
  <r>
    <s v="ORD0634"/>
    <s v="C0098"/>
    <x v="202"/>
    <s v="Jacket"/>
    <x v="1"/>
    <x v="1"/>
    <x v="0"/>
    <n v="3"/>
    <n v="11500"/>
    <x v="0"/>
    <n v="34500"/>
    <x v="0"/>
  </r>
  <r>
    <s v="ORD0635"/>
    <s v="C0307"/>
    <x v="221"/>
    <s v="Facial Cleanser"/>
    <x v="4"/>
    <x v="0"/>
    <x v="0"/>
    <n v="2"/>
    <n v="2800"/>
    <x v="3"/>
    <n v="4760"/>
    <x v="4"/>
  </r>
  <r>
    <s v="ORD0636"/>
    <s v="C0101"/>
    <x v="25"/>
    <s v="Smart Watch"/>
    <x v="2"/>
    <x v="1"/>
    <x v="2"/>
    <n v="1"/>
    <n v="12800"/>
    <x v="0"/>
    <n v="12800"/>
    <x v="3"/>
  </r>
  <r>
    <s v="ORD0637"/>
    <s v="C0166"/>
    <x v="135"/>
    <s v="Running Shoes"/>
    <x v="3"/>
    <x v="1"/>
    <x v="1"/>
    <n v="2"/>
    <n v="9200"/>
    <x v="1"/>
    <n v="17480"/>
    <x v="2"/>
  </r>
  <r>
    <s v="ORD0638"/>
    <s v="C0192"/>
    <x v="240"/>
    <s v="Smart Watch"/>
    <x v="2"/>
    <x v="1"/>
    <x v="2"/>
    <n v="2"/>
    <n v="12800"/>
    <x v="2"/>
    <n v="23040"/>
    <x v="7"/>
  </r>
  <r>
    <s v="ORD0639"/>
    <s v="C0185"/>
    <x v="169"/>
    <s v="Hair Dryer"/>
    <x v="4"/>
    <x v="1"/>
    <x v="2"/>
    <n v="1"/>
    <n v="6800"/>
    <x v="1"/>
    <n v="6460"/>
    <x v="4"/>
  </r>
  <r>
    <s v="ORD0640"/>
    <s v="C0374"/>
    <x v="253"/>
    <s v="Bluetooth Speaker"/>
    <x v="2"/>
    <x v="0"/>
    <x v="0"/>
    <n v="3"/>
    <n v="6200"/>
    <x v="1"/>
    <n v="17670"/>
    <x v="0"/>
  </r>
  <r>
    <s v="ORD0641"/>
    <s v="C0403"/>
    <x v="139"/>
    <s v="Dumbbell Set"/>
    <x v="3"/>
    <x v="0"/>
    <x v="0"/>
    <n v="2"/>
    <n v="7400"/>
    <x v="1"/>
    <n v="14060"/>
    <x v="0"/>
  </r>
  <r>
    <s v="ORD0642"/>
    <s v="C0499"/>
    <x v="128"/>
    <s v="Bluetooth Speaker"/>
    <x v="2"/>
    <x v="0"/>
    <x v="2"/>
    <n v="2"/>
    <n v="6200"/>
    <x v="2"/>
    <n v="11160"/>
    <x v="0"/>
  </r>
  <r>
    <s v="ORD0643"/>
    <s v="C0181"/>
    <x v="89"/>
    <s v="Bluetooth Speaker"/>
    <x v="2"/>
    <x v="1"/>
    <x v="2"/>
    <n v="2"/>
    <n v="6200"/>
    <x v="2"/>
    <n v="11160"/>
    <x v="12"/>
  </r>
  <r>
    <s v="ORD0644"/>
    <s v="C0382"/>
    <x v="254"/>
    <s v="Smart Watch"/>
    <x v="2"/>
    <x v="0"/>
    <x v="0"/>
    <n v="2"/>
    <n v="12800"/>
    <x v="1"/>
    <n v="24320"/>
    <x v="13"/>
  </r>
  <r>
    <s v="ORD0645"/>
    <s v="C0090"/>
    <x v="2"/>
    <s v="Dumbbell Set"/>
    <x v="3"/>
    <x v="1"/>
    <x v="0"/>
    <n v="2"/>
    <n v="7400"/>
    <x v="0"/>
    <n v="14800"/>
    <x v="7"/>
  </r>
  <r>
    <s v="ORD0646"/>
    <s v="C0128"/>
    <x v="50"/>
    <s v="Sneakers"/>
    <x v="1"/>
    <x v="1"/>
    <x v="0"/>
    <n v="1"/>
    <n v="8900"/>
    <x v="1"/>
    <n v="8455"/>
    <x v="7"/>
  </r>
  <r>
    <s v="ORD0647"/>
    <s v="C0132"/>
    <x v="106"/>
    <s v="Hair Dryer"/>
    <x v="4"/>
    <x v="1"/>
    <x v="1"/>
    <n v="1"/>
    <n v="6800"/>
    <x v="2"/>
    <n v="6120"/>
    <x v="14"/>
  </r>
  <r>
    <s v="ORD0648"/>
    <s v="C0281"/>
    <x v="24"/>
    <s v="USB-C Hub"/>
    <x v="2"/>
    <x v="0"/>
    <x v="2"/>
    <n v="1"/>
    <n v="4200"/>
    <x v="3"/>
    <n v="3570"/>
    <x v="0"/>
  </r>
  <r>
    <s v="ORD0649"/>
    <s v="C0459"/>
    <x v="77"/>
    <s v="Skincare Set"/>
    <x v="4"/>
    <x v="0"/>
    <x v="1"/>
    <n v="3"/>
    <n v="7200"/>
    <x v="0"/>
    <n v="21600"/>
    <x v="11"/>
  </r>
  <r>
    <s v="ORD0650"/>
    <s v="C0017"/>
    <x v="118"/>
    <s v="Dumbbell Set"/>
    <x v="3"/>
    <x v="1"/>
    <x v="1"/>
    <n v="1"/>
    <n v="7400"/>
    <x v="2"/>
    <n v="6660"/>
    <x v="11"/>
  </r>
  <r>
    <s v="ORD0651"/>
    <s v="C0121"/>
    <x v="150"/>
    <s v="Coffee Maker"/>
    <x v="0"/>
    <x v="1"/>
    <x v="1"/>
    <n v="1"/>
    <n v="7600"/>
    <x v="1"/>
    <n v="7220"/>
    <x v="7"/>
  </r>
  <r>
    <s v="ORD0652"/>
    <s v="C0145"/>
    <x v="17"/>
    <s v="Bluetooth Speaker"/>
    <x v="2"/>
    <x v="1"/>
    <x v="0"/>
    <n v="1"/>
    <n v="6200"/>
    <x v="0"/>
    <n v="6200"/>
    <x v="3"/>
  </r>
  <r>
    <s v="ORD0653"/>
    <s v="C0423"/>
    <x v="155"/>
    <s v="Sports Bag"/>
    <x v="3"/>
    <x v="0"/>
    <x v="2"/>
    <n v="2"/>
    <n v="5600"/>
    <x v="2"/>
    <n v="10080"/>
    <x v="7"/>
  </r>
  <r>
    <s v="ORD0654"/>
    <s v="C0094"/>
    <x v="29"/>
    <s v="Beauty Mirror"/>
    <x v="4"/>
    <x v="1"/>
    <x v="0"/>
    <n v="1"/>
    <n v="4500"/>
    <x v="1"/>
    <n v="4275"/>
    <x v="1"/>
  </r>
  <r>
    <s v="ORD0655"/>
    <s v="C0127"/>
    <x v="44"/>
    <s v="Facial Cleanser"/>
    <x v="4"/>
    <x v="1"/>
    <x v="1"/>
    <n v="1"/>
    <n v="2800"/>
    <x v="0"/>
    <n v="2800"/>
    <x v="4"/>
  </r>
  <r>
    <s v="ORD0656"/>
    <s v="C0119"/>
    <x v="254"/>
    <s v="Wireless Mouse"/>
    <x v="2"/>
    <x v="1"/>
    <x v="1"/>
    <n v="4"/>
    <n v="3500"/>
    <x v="0"/>
    <n v="14000"/>
    <x v="7"/>
  </r>
  <r>
    <s v="ORD0657"/>
    <s v="C0062"/>
    <x v="254"/>
    <s v="Storage Box Set"/>
    <x v="0"/>
    <x v="1"/>
    <x v="0"/>
    <n v="3"/>
    <n v="3200"/>
    <x v="0"/>
    <n v="9600"/>
    <x v="12"/>
  </r>
  <r>
    <s v="ORD0658"/>
    <s v="C0195"/>
    <x v="255"/>
    <s v="Wireless Headphones"/>
    <x v="2"/>
    <x v="1"/>
    <x v="2"/>
    <n v="1"/>
    <n v="8500"/>
    <x v="2"/>
    <n v="7650"/>
    <x v="6"/>
  </r>
  <r>
    <s v="ORD0659"/>
    <s v="C0240"/>
    <x v="38"/>
    <s v="Wireless Mouse"/>
    <x v="2"/>
    <x v="0"/>
    <x v="0"/>
    <n v="1"/>
    <n v="3500"/>
    <x v="2"/>
    <n v="3150"/>
    <x v="8"/>
  </r>
  <r>
    <s v="ORD0660"/>
    <s v="C0036"/>
    <x v="162"/>
    <s v="Smart Watch"/>
    <x v="2"/>
    <x v="1"/>
    <x v="0"/>
    <n v="3"/>
    <n v="12800"/>
    <x v="0"/>
    <n v="38400"/>
    <x v="11"/>
  </r>
  <r>
    <s v="ORD0661"/>
    <s v="C0069"/>
    <x v="143"/>
    <s v="Yoga Mat"/>
    <x v="3"/>
    <x v="1"/>
    <x v="0"/>
    <n v="1"/>
    <n v="3800"/>
    <x v="3"/>
    <n v="3230"/>
    <x v="6"/>
  </r>
  <r>
    <s v="ORD0662"/>
    <s v="C0183"/>
    <x v="30"/>
    <s v="Beauty Mirror"/>
    <x v="4"/>
    <x v="1"/>
    <x v="2"/>
    <n v="1"/>
    <n v="4500"/>
    <x v="0"/>
    <n v="4500"/>
    <x v="10"/>
  </r>
  <r>
    <s v="ORD0663"/>
    <s v="C0429"/>
    <x v="233"/>
    <s v="Electric Kettle"/>
    <x v="0"/>
    <x v="0"/>
    <x v="0"/>
    <n v="1"/>
    <n v="4800"/>
    <x v="2"/>
    <n v="4320"/>
    <x v="7"/>
  </r>
  <r>
    <s v="ORD0664"/>
    <s v="C0176"/>
    <x v="201"/>
    <s v="Skincare Set"/>
    <x v="4"/>
    <x v="1"/>
    <x v="0"/>
    <n v="1"/>
    <n v="7200"/>
    <x v="2"/>
    <n v="6480"/>
    <x v="8"/>
  </r>
  <r>
    <s v="ORD0665"/>
    <s v="C0089"/>
    <x v="181"/>
    <s v="T-Shirt"/>
    <x v="1"/>
    <x v="1"/>
    <x v="2"/>
    <n v="3"/>
    <n v="3200"/>
    <x v="0"/>
    <n v="9600"/>
    <x v="3"/>
  </r>
  <r>
    <s v="ORD0666"/>
    <s v="C0019"/>
    <x v="197"/>
    <s v="Coffee Maker"/>
    <x v="0"/>
    <x v="1"/>
    <x v="0"/>
    <n v="2"/>
    <n v="7600"/>
    <x v="0"/>
    <n v="15200"/>
    <x v="1"/>
  </r>
  <r>
    <s v="ORD0667"/>
    <s v="C0007"/>
    <x v="151"/>
    <s v="Smart Watch"/>
    <x v="2"/>
    <x v="1"/>
    <x v="0"/>
    <n v="1"/>
    <n v="12800"/>
    <x v="2"/>
    <n v="11520"/>
    <x v="3"/>
  </r>
  <r>
    <s v="ORD0668"/>
    <s v="C0051"/>
    <x v="39"/>
    <s v="Fitness Band"/>
    <x v="3"/>
    <x v="1"/>
    <x v="2"/>
    <n v="1"/>
    <n v="4100"/>
    <x v="2"/>
    <n v="3690"/>
    <x v="8"/>
  </r>
  <r>
    <s v="ORD0669"/>
    <s v="C0187"/>
    <x v="138"/>
    <s v="Table Lamp"/>
    <x v="0"/>
    <x v="1"/>
    <x v="0"/>
    <n v="1"/>
    <n v="5400"/>
    <x v="1"/>
    <n v="5130"/>
    <x v="13"/>
  </r>
  <r>
    <s v="ORD0670"/>
    <s v="C0126"/>
    <x v="37"/>
    <s v="Storage Box Set"/>
    <x v="0"/>
    <x v="1"/>
    <x v="2"/>
    <n v="1"/>
    <n v="3200"/>
    <x v="3"/>
    <n v="2720"/>
    <x v="1"/>
  </r>
  <r>
    <s v="ORD0671"/>
    <s v="C0205"/>
    <x v="137"/>
    <s v="Coffee Maker"/>
    <x v="0"/>
    <x v="1"/>
    <x v="1"/>
    <n v="1"/>
    <n v="7600"/>
    <x v="0"/>
    <n v="7600"/>
    <x v="5"/>
  </r>
  <r>
    <s v="ORD0672"/>
    <s v="C0339"/>
    <x v="54"/>
    <s v="Storage Box Set"/>
    <x v="0"/>
    <x v="0"/>
    <x v="0"/>
    <n v="1"/>
    <n v="3200"/>
    <x v="1"/>
    <n v="3040"/>
    <x v="4"/>
  </r>
  <r>
    <s v="ORD0673"/>
    <s v="C0009"/>
    <x v="157"/>
    <s v="Facial Cleanser"/>
    <x v="4"/>
    <x v="1"/>
    <x v="0"/>
    <n v="2"/>
    <n v="2800"/>
    <x v="2"/>
    <n v="5040"/>
    <x v="11"/>
  </r>
  <r>
    <s v="ORD0674"/>
    <s v="C0496"/>
    <x v="227"/>
    <s v="Skincare Set"/>
    <x v="4"/>
    <x v="0"/>
    <x v="2"/>
    <n v="1"/>
    <n v="7200"/>
    <x v="0"/>
    <n v="7200"/>
    <x v="9"/>
  </r>
  <r>
    <s v="ORD0675"/>
    <s v="C0238"/>
    <x v="192"/>
    <s v="Jacket"/>
    <x v="1"/>
    <x v="0"/>
    <x v="0"/>
    <n v="1"/>
    <n v="11500"/>
    <x v="2"/>
    <n v="10350"/>
    <x v="10"/>
  </r>
  <r>
    <s v="ORD0676"/>
    <s v="C0199"/>
    <x v="82"/>
    <s v="Wireless Headphones"/>
    <x v="2"/>
    <x v="1"/>
    <x v="1"/>
    <n v="2"/>
    <n v="8500"/>
    <x v="1"/>
    <n v="16150"/>
    <x v="11"/>
  </r>
  <r>
    <s v="ORD0677"/>
    <s v="C0132"/>
    <x v="52"/>
    <s v="Jacket"/>
    <x v="1"/>
    <x v="1"/>
    <x v="0"/>
    <n v="2"/>
    <n v="11500"/>
    <x v="3"/>
    <n v="19550"/>
    <x v="12"/>
  </r>
  <r>
    <s v="ORD0678"/>
    <s v="C0280"/>
    <x v="20"/>
    <s v="Beauty Mirror"/>
    <x v="4"/>
    <x v="0"/>
    <x v="2"/>
    <n v="1"/>
    <n v="4500"/>
    <x v="1"/>
    <n v="4275"/>
    <x v="10"/>
  </r>
  <r>
    <s v="ORD0679"/>
    <s v="C0410"/>
    <x v="242"/>
    <s v="Coffee Maker"/>
    <x v="0"/>
    <x v="0"/>
    <x v="2"/>
    <n v="2"/>
    <n v="7600"/>
    <x v="1"/>
    <n v="14440"/>
    <x v="5"/>
  </r>
  <r>
    <s v="ORD0680"/>
    <s v="C0058"/>
    <x v="47"/>
    <s v="Yoga Mat"/>
    <x v="3"/>
    <x v="1"/>
    <x v="0"/>
    <n v="1"/>
    <n v="3800"/>
    <x v="2"/>
    <n v="3420"/>
    <x v="12"/>
  </r>
  <r>
    <s v="ORD0681"/>
    <s v="C0150"/>
    <x v="47"/>
    <s v="Table Lamp"/>
    <x v="0"/>
    <x v="1"/>
    <x v="1"/>
    <n v="1"/>
    <n v="5400"/>
    <x v="1"/>
    <n v="5130"/>
    <x v="8"/>
  </r>
  <r>
    <s v="ORD0682"/>
    <s v="C0024"/>
    <x v="181"/>
    <s v="Coffee Maker"/>
    <x v="0"/>
    <x v="1"/>
    <x v="2"/>
    <n v="1"/>
    <n v="7600"/>
    <x v="0"/>
    <n v="7600"/>
    <x v="5"/>
  </r>
  <r>
    <s v="ORD0683"/>
    <s v="C0320"/>
    <x v="153"/>
    <s v="Beauty Mirror"/>
    <x v="4"/>
    <x v="0"/>
    <x v="0"/>
    <n v="1"/>
    <n v="4500"/>
    <x v="3"/>
    <n v="3825"/>
    <x v="8"/>
  </r>
  <r>
    <s v="ORD0684"/>
    <s v="C0449"/>
    <x v="189"/>
    <s v="Table Lamp"/>
    <x v="0"/>
    <x v="0"/>
    <x v="1"/>
    <n v="1"/>
    <n v="5400"/>
    <x v="0"/>
    <n v="5400"/>
    <x v="11"/>
  </r>
  <r>
    <s v="ORD0685"/>
    <s v="C0100"/>
    <x v="256"/>
    <s v="Sneakers"/>
    <x v="1"/>
    <x v="1"/>
    <x v="0"/>
    <n v="1"/>
    <n v="8900"/>
    <x v="0"/>
    <n v="8900"/>
    <x v="9"/>
  </r>
  <r>
    <s v="ORD0686"/>
    <s v="C0446"/>
    <x v="256"/>
    <s v="Running Shoes"/>
    <x v="3"/>
    <x v="0"/>
    <x v="0"/>
    <n v="3"/>
    <n v="9200"/>
    <x v="2"/>
    <n v="24840"/>
    <x v="0"/>
  </r>
  <r>
    <s v="ORD0687"/>
    <s v="C0404"/>
    <x v="83"/>
    <s v="Smart Watch"/>
    <x v="2"/>
    <x v="0"/>
    <x v="0"/>
    <n v="1"/>
    <n v="12800"/>
    <x v="1"/>
    <n v="12160"/>
    <x v="11"/>
  </r>
  <r>
    <s v="ORD0688"/>
    <s v="C0339"/>
    <x v="101"/>
    <s v="Wireless Headphones"/>
    <x v="2"/>
    <x v="0"/>
    <x v="2"/>
    <n v="1"/>
    <n v="8500"/>
    <x v="2"/>
    <n v="7650"/>
    <x v="6"/>
  </r>
  <r>
    <s v="ORD0689"/>
    <s v="C0318"/>
    <x v="193"/>
    <s v="Beauty Mirror"/>
    <x v="4"/>
    <x v="0"/>
    <x v="0"/>
    <n v="1"/>
    <n v="4500"/>
    <x v="3"/>
    <n v="3825"/>
    <x v="10"/>
  </r>
  <r>
    <s v="ORD0690"/>
    <s v="C0452"/>
    <x v="176"/>
    <s v="Coffee Maker"/>
    <x v="0"/>
    <x v="0"/>
    <x v="1"/>
    <n v="2"/>
    <n v="7600"/>
    <x v="0"/>
    <n v="15200"/>
    <x v="4"/>
  </r>
  <r>
    <s v="ORD0691"/>
    <s v="C0171"/>
    <x v="129"/>
    <s v="Bluetooth Speaker"/>
    <x v="2"/>
    <x v="1"/>
    <x v="1"/>
    <n v="1"/>
    <n v="6200"/>
    <x v="0"/>
    <n v="6200"/>
    <x v="6"/>
  </r>
  <r>
    <s v="ORD0692"/>
    <s v="C0379"/>
    <x v="257"/>
    <s v="Jacket"/>
    <x v="1"/>
    <x v="0"/>
    <x v="1"/>
    <n v="2"/>
    <n v="11500"/>
    <x v="0"/>
    <n v="23000"/>
    <x v="5"/>
  </r>
  <r>
    <s v="ORD0693"/>
    <s v="C0023"/>
    <x v="169"/>
    <s v="Facial Cleanser"/>
    <x v="4"/>
    <x v="1"/>
    <x v="2"/>
    <n v="2"/>
    <n v="2800"/>
    <x v="3"/>
    <n v="4760"/>
    <x v="3"/>
  </r>
  <r>
    <s v="ORD0694"/>
    <s v="C0095"/>
    <x v="239"/>
    <s v="Dumbbell Set"/>
    <x v="3"/>
    <x v="1"/>
    <x v="0"/>
    <n v="2"/>
    <n v="7400"/>
    <x v="0"/>
    <n v="14800"/>
    <x v="2"/>
  </r>
  <r>
    <s v="ORD0695"/>
    <s v="C0198"/>
    <x v="163"/>
    <s v="Jeans"/>
    <x v="1"/>
    <x v="1"/>
    <x v="2"/>
    <n v="2"/>
    <n v="7600"/>
    <x v="2"/>
    <n v="13680"/>
    <x v="5"/>
  </r>
  <r>
    <s v="ORD0696"/>
    <s v="C0179"/>
    <x v="4"/>
    <s v="Air Fryer"/>
    <x v="0"/>
    <x v="1"/>
    <x v="0"/>
    <n v="2"/>
    <n v="9800"/>
    <x v="1"/>
    <n v="18620"/>
    <x v="3"/>
  </r>
  <r>
    <s v="ORD0697"/>
    <s v="C0429"/>
    <x v="258"/>
    <s v="Wireless Mouse"/>
    <x v="2"/>
    <x v="0"/>
    <x v="0"/>
    <n v="2"/>
    <n v="3500"/>
    <x v="1"/>
    <n v="6650"/>
    <x v="10"/>
  </r>
  <r>
    <s v="ORD0698"/>
    <s v="C0457"/>
    <x v="29"/>
    <s v="Coffee Maker"/>
    <x v="0"/>
    <x v="0"/>
    <x v="1"/>
    <n v="1"/>
    <n v="7600"/>
    <x v="2"/>
    <n v="6840"/>
    <x v="12"/>
  </r>
  <r>
    <s v="ORD0699"/>
    <s v="C0256"/>
    <x v="23"/>
    <s v="Wireless Headphones"/>
    <x v="2"/>
    <x v="0"/>
    <x v="0"/>
    <n v="2"/>
    <n v="8500"/>
    <x v="2"/>
    <n v="15300"/>
    <x v="6"/>
  </r>
  <r>
    <s v="ORD0700"/>
    <s v="C0330"/>
    <x v="225"/>
    <s v="Beauty Mirror"/>
    <x v="4"/>
    <x v="0"/>
    <x v="0"/>
    <n v="1"/>
    <n v="4500"/>
    <x v="0"/>
    <n v="4500"/>
    <x v="0"/>
  </r>
  <r>
    <s v="ORD0701"/>
    <s v="C0367"/>
    <x v="25"/>
    <s v="T-Shirt"/>
    <x v="1"/>
    <x v="0"/>
    <x v="0"/>
    <n v="4"/>
    <n v="3200"/>
    <x v="2"/>
    <n v="11520"/>
    <x v="1"/>
  </r>
  <r>
    <s v="ORD0702"/>
    <s v="C0418"/>
    <x v="58"/>
    <s v="USB-C Hub"/>
    <x v="2"/>
    <x v="0"/>
    <x v="0"/>
    <n v="1"/>
    <n v="4200"/>
    <x v="1"/>
    <n v="3990"/>
    <x v="0"/>
  </r>
  <r>
    <s v="ORD0703"/>
    <s v="C0355"/>
    <x v="126"/>
    <s v="Hair Dryer"/>
    <x v="4"/>
    <x v="0"/>
    <x v="0"/>
    <n v="1"/>
    <n v="6800"/>
    <x v="2"/>
    <n v="6120"/>
    <x v="13"/>
  </r>
  <r>
    <s v="ORD0704"/>
    <s v="C0090"/>
    <x v="255"/>
    <s v="Running Shoes"/>
    <x v="3"/>
    <x v="1"/>
    <x v="0"/>
    <n v="3"/>
    <n v="9200"/>
    <x v="2"/>
    <n v="24840"/>
    <x v="11"/>
  </r>
  <r>
    <s v="ORD0705"/>
    <s v="C0435"/>
    <x v="159"/>
    <s v="Smart Watch"/>
    <x v="2"/>
    <x v="0"/>
    <x v="0"/>
    <n v="1"/>
    <n v="12800"/>
    <x v="0"/>
    <n v="12800"/>
    <x v="13"/>
  </r>
  <r>
    <s v="ORD0706"/>
    <s v="C0009"/>
    <x v="38"/>
    <s v="Skincare Set"/>
    <x v="4"/>
    <x v="1"/>
    <x v="2"/>
    <n v="1"/>
    <n v="7200"/>
    <x v="0"/>
    <n v="7200"/>
    <x v="9"/>
  </r>
  <r>
    <s v="ORD0707"/>
    <s v="C0247"/>
    <x v="194"/>
    <s v="Coffee Maker"/>
    <x v="0"/>
    <x v="0"/>
    <x v="0"/>
    <n v="1"/>
    <n v="7600"/>
    <x v="1"/>
    <n v="7220"/>
    <x v="6"/>
  </r>
  <r>
    <s v="ORD0708"/>
    <s v="C0091"/>
    <x v="158"/>
    <s v="Skincare Set"/>
    <x v="4"/>
    <x v="1"/>
    <x v="0"/>
    <n v="2"/>
    <n v="7200"/>
    <x v="2"/>
    <n v="12960"/>
    <x v="3"/>
  </r>
  <r>
    <s v="ORD0709"/>
    <s v="C0089"/>
    <x v="7"/>
    <s v="Wireless Mouse"/>
    <x v="2"/>
    <x v="1"/>
    <x v="2"/>
    <n v="1"/>
    <n v="3500"/>
    <x v="0"/>
    <n v="3500"/>
    <x v="13"/>
  </r>
  <r>
    <s v="ORD0710"/>
    <s v="C0383"/>
    <x v="122"/>
    <s v="Jeans"/>
    <x v="1"/>
    <x v="0"/>
    <x v="1"/>
    <n v="1"/>
    <n v="7600"/>
    <x v="4"/>
    <n v="6080"/>
    <x v="9"/>
  </r>
  <r>
    <s v="ORD0711"/>
    <s v="C0407"/>
    <x v="115"/>
    <s v="USB-C Hub"/>
    <x v="2"/>
    <x v="0"/>
    <x v="1"/>
    <n v="1"/>
    <n v="4200"/>
    <x v="3"/>
    <n v="3570"/>
    <x v="12"/>
  </r>
  <r>
    <s v="ORD0712"/>
    <s v="C0445"/>
    <x v="65"/>
    <s v="T-Shirt"/>
    <x v="1"/>
    <x v="0"/>
    <x v="1"/>
    <n v="3"/>
    <n v="3200"/>
    <x v="1"/>
    <n v="9120"/>
    <x v="0"/>
  </r>
  <r>
    <s v="ORD0713"/>
    <s v="C0389"/>
    <x v="96"/>
    <s v="Facial Cleanser"/>
    <x v="4"/>
    <x v="0"/>
    <x v="0"/>
    <n v="2"/>
    <n v="2800"/>
    <x v="1"/>
    <n v="5320"/>
    <x v="0"/>
  </r>
  <r>
    <s v="ORD0714"/>
    <s v="C0276"/>
    <x v="242"/>
    <s v="Hoodie"/>
    <x v="1"/>
    <x v="0"/>
    <x v="0"/>
    <n v="1"/>
    <n v="5900"/>
    <x v="1"/>
    <n v="5605"/>
    <x v="0"/>
  </r>
  <r>
    <s v="ORD0715"/>
    <s v="C0463"/>
    <x v="35"/>
    <s v="Coffee Maker"/>
    <x v="0"/>
    <x v="0"/>
    <x v="0"/>
    <n v="3"/>
    <n v="7600"/>
    <x v="3"/>
    <n v="19380"/>
    <x v="3"/>
  </r>
  <r>
    <s v="ORD0716"/>
    <s v="C0106"/>
    <x v="47"/>
    <s v="Facial Cleanser"/>
    <x v="4"/>
    <x v="1"/>
    <x v="1"/>
    <n v="2"/>
    <n v="2800"/>
    <x v="1"/>
    <n v="5320"/>
    <x v="11"/>
  </r>
  <r>
    <s v="ORD0717"/>
    <s v="C0096"/>
    <x v="13"/>
    <s v="Sneakers"/>
    <x v="1"/>
    <x v="1"/>
    <x v="0"/>
    <n v="1"/>
    <n v="8900"/>
    <x v="3"/>
    <n v="7565"/>
    <x v="12"/>
  </r>
  <r>
    <s v="ORD0718"/>
    <s v="C0480"/>
    <x v="19"/>
    <s v="T-Shirt"/>
    <x v="1"/>
    <x v="0"/>
    <x v="0"/>
    <n v="1"/>
    <n v="3200"/>
    <x v="2"/>
    <n v="2880"/>
    <x v="13"/>
  </r>
  <r>
    <s v="ORD0719"/>
    <s v="C0146"/>
    <x v="38"/>
    <s v="Bluetooth Speaker"/>
    <x v="2"/>
    <x v="1"/>
    <x v="0"/>
    <n v="2"/>
    <n v="6200"/>
    <x v="0"/>
    <n v="12400"/>
    <x v="8"/>
  </r>
  <r>
    <s v="ORD0720"/>
    <s v="C0220"/>
    <x v="130"/>
    <s v="Smart Watch"/>
    <x v="2"/>
    <x v="0"/>
    <x v="0"/>
    <n v="1"/>
    <n v="12800"/>
    <x v="1"/>
    <n v="12160"/>
    <x v="12"/>
  </r>
  <r>
    <s v="ORD0721"/>
    <s v="C0371"/>
    <x v="29"/>
    <s v="Smart Watch"/>
    <x v="2"/>
    <x v="0"/>
    <x v="2"/>
    <n v="3"/>
    <n v="12800"/>
    <x v="0"/>
    <n v="38400"/>
    <x v="9"/>
  </r>
  <r>
    <s v="ORD0722"/>
    <s v="C0214"/>
    <x v="231"/>
    <s v="Hair Dryer"/>
    <x v="4"/>
    <x v="0"/>
    <x v="0"/>
    <n v="1"/>
    <n v="6800"/>
    <x v="0"/>
    <n v="6800"/>
    <x v="13"/>
  </r>
  <r>
    <s v="ORD0723"/>
    <s v="C0070"/>
    <x v="188"/>
    <s v="Running Shoes"/>
    <x v="3"/>
    <x v="1"/>
    <x v="1"/>
    <n v="2"/>
    <n v="9200"/>
    <x v="1"/>
    <n v="17480"/>
    <x v="13"/>
  </r>
  <r>
    <s v="ORD0724"/>
    <s v="C0402"/>
    <x v="56"/>
    <s v="T-Shirt"/>
    <x v="1"/>
    <x v="0"/>
    <x v="1"/>
    <n v="1"/>
    <n v="3200"/>
    <x v="4"/>
    <n v="2560"/>
    <x v="12"/>
  </r>
  <r>
    <s v="ORD0725"/>
    <s v="C0307"/>
    <x v="136"/>
    <s v="T-Shirt"/>
    <x v="1"/>
    <x v="0"/>
    <x v="2"/>
    <n v="1"/>
    <n v="3200"/>
    <x v="2"/>
    <n v="2880"/>
    <x v="10"/>
  </r>
  <r>
    <s v="ORD0726"/>
    <s v="C0192"/>
    <x v="170"/>
    <s v="Table Lamp"/>
    <x v="0"/>
    <x v="1"/>
    <x v="0"/>
    <n v="1"/>
    <n v="5400"/>
    <x v="0"/>
    <n v="5400"/>
    <x v="4"/>
  </r>
  <r>
    <s v="ORD0727"/>
    <s v="C0268"/>
    <x v="90"/>
    <s v="Beauty Mirror"/>
    <x v="4"/>
    <x v="0"/>
    <x v="2"/>
    <n v="1"/>
    <n v="4500"/>
    <x v="1"/>
    <n v="4275"/>
    <x v="14"/>
  </r>
  <r>
    <s v="ORD0728"/>
    <s v="C0427"/>
    <x v="194"/>
    <s v="Sports Bag"/>
    <x v="3"/>
    <x v="0"/>
    <x v="1"/>
    <n v="2"/>
    <n v="5600"/>
    <x v="1"/>
    <n v="10640"/>
    <x v="11"/>
  </r>
  <r>
    <s v="ORD0729"/>
    <s v="C0454"/>
    <x v="53"/>
    <s v="Jeans"/>
    <x v="1"/>
    <x v="0"/>
    <x v="2"/>
    <n v="2"/>
    <n v="7600"/>
    <x v="0"/>
    <n v="15200"/>
    <x v="2"/>
  </r>
  <r>
    <s v="ORD0730"/>
    <s v="C0074"/>
    <x v="73"/>
    <s v="Facial Cleanser"/>
    <x v="4"/>
    <x v="1"/>
    <x v="0"/>
    <n v="1"/>
    <n v="2800"/>
    <x v="4"/>
    <n v="2240"/>
    <x v="6"/>
  </r>
  <r>
    <s v="ORD0731"/>
    <s v="C0309"/>
    <x v="151"/>
    <s v="Skincare Set"/>
    <x v="4"/>
    <x v="0"/>
    <x v="2"/>
    <n v="1"/>
    <n v="7200"/>
    <x v="0"/>
    <n v="7200"/>
    <x v="10"/>
  </r>
  <r>
    <s v="ORD0732"/>
    <s v="C0270"/>
    <x v="87"/>
    <s v="Air Fryer"/>
    <x v="0"/>
    <x v="0"/>
    <x v="0"/>
    <n v="2"/>
    <n v="9800"/>
    <x v="1"/>
    <n v="18620"/>
    <x v="3"/>
  </r>
  <r>
    <s v="ORD0733"/>
    <s v="C0077"/>
    <x v="194"/>
    <s v="Jacket"/>
    <x v="1"/>
    <x v="1"/>
    <x v="1"/>
    <n v="3"/>
    <n v="11500"/>
    <x v="3"/>
    <n v="29325"/>
    <x v="12"/>
  </r>
  <r>
    <s v="ORD0734"/>
    <s v="C0105"/>
    <x v="98"/>
    <s v="Smart Watch"/>
    <x v="2"/>
    <x v="1"/>
    <x v="0"/>
    <n v="2"/>
    <n v="12800"/>
    <x v="4"/>
    <n v="20480"/>
    <x v="5"/>
  </r>
  <r>
    <s v="ORD0735"/>
    <s v="C0431"/>
    <x v="179"/>
    <s v="Beauty Mirror"/>
    <x v="4"/>
    <x v="0"/>
    <x v="0"/>
    <n v="1"/>
    <n v="4500"/>
    <x v="0"/>
    <n v="4500"/>
    <x v="12"/>
  </r>
  <r>
    <s v="ORD0736"/>
    <s v="C0269"/>
    <x v="93"/>
    <s v="USB-C Hub"/>
    <x v="2"/>
    <x v="0"/>
    <x v="2"/>
    <n v="3"/>
    <n v="4200"/>
    <x v="2"/>
    <n v="11340"/>
    <x v="9"/>
  </r>
  <r>
    <s v="ORD0737"/>
    <s v="C0326"/>
    <x v="222"/>
    <s v="Coffee Maker"/>
    <x v="0"/>
    <x v="0"/>
    <x v="1"/>
    <n v="2"/>
    <n v="7600"/>
    <x v="2"/>
    <n v="13680"/>
    <x v="1"/>
  </r>
  <r>
    <s v="ORD0738"/>
    <s v="C0473"/>
    <x v="138"/>
    <s v="Bluetooth Speaker"/>
    <x v="2"/>
    <x v="0"/>
    <x v="0"/>
    <n v="1"/>
    <n v="6200"/>
    <x v="1"/>
    <n v="5890"/>
    <x v="3"/>
  </r>
  <r>
    <s v="ORD0739"/>
    <s v="C0055"/>
    <x v="259"/>
    <s v="Beauty Mirror"/>
    <x v="4"/>
    <x v="1"/>
    <x v="2"/>
    <n v="4"/>
    <n v="4500"/>
    <x v="2"/>
    <n v="16200"/>
    <x v="13"/>
  </r>
  <r>
    <s v="ORD0740"/>
    <s v="C0429"/>
    <x v="184"/>
    <s v="Smart Watch"/>
    <x v="2"/>
    <x v="0"/>
    <x v="0"/>
    <n v="1"/>
    <n v="12800"/>
    <x v="2"/>
    <n v="11520"/>
    <x v="7"/>
  </r>
  <r>
    <s v="ORD0741"/>
    <s v="C0014"/>
    <x v="85"/>
    <s v="Hoodie"/>
    <x v="1"/>
    <x v="1"/>
    <x v="0"/>
    <n v="1"/>
    <n v="5900"/>
    <x v="1"/>
    <n v="5605"/>
    <x v="7"/>
  </r>
  <r>
    <s v="ORD0742"/>
    <s v="C0357"/>
    <x v="121"/>
    <s v="Skincare Set"/>
    <x v="4"/>
    <x v="0"/>
    <x v="0"/>
    <n v="1"/>
    <n v="7200"/>
    <x v="1"/>
    <n v="6840"/>
    <x v="5"/>
  </r>
  <r>
    <s v="ORD0743"/>
    <s v="C0209"/>
    <x v="38"/>
    <s v="Smart Watch"/>
    <x v="2"/>
    <x v="1"/>
    <x v="0"/>
    <n v="2"/>
    <n v="12800"/>
    <x v="1"/>
    <n v="24320"/>
    <x v="13"/>
  </r>
  <r>
    <s v="ORD0744"/>
    <s v="C0410"/>
    <x v="190"/>
    <s v="Smart Watch"/>
    <x v="2"/>
    <x v="0"/>
    <x v="0"/>
    <n v="3"/>
    <n v="12800"/>
    <x v="0"/>
    <n v="38400"/>
    <x v="7"/>
  </r>
  <r>
    <s v="ORD0745"/>
    <s v="C0069"/>
    <x v="77"/>
    <s v="Electric Kettle"/>
    <x v="0"/>
    <x v="1"/>
    <x v="0"/>
    <n v="1"/>
    <n v="4800"/>
    <x v="3"/>
    <n v="4080"/>
    <x v="4"/>
  </r>
  <r>
    <s v="ORD0746"/>
    <s v="C0132"/>
    <x v="45"/>
    <s v="Yoga Mat"/>
    <x v="3"/>
    <x v="1"/>
    <x v="1"/>
    <n v="1"/>
    <n v="3800"/>
    <x v="3"/>
    <n v="3230"/>
    <x v="12"/>
  </r>
  <r>
    <s v="ORD0747"/>
    <s v="C0001"/>
    <x v="28"/>
    <s v="Running Shoes"/>
    <x v="3"/>
    <x v="1"/>
    <x v="0"/>
    <n v="1"/>
    <n v="9200"/>
    <x v="2"/>
    <n v="8280"/>
    <x v="14"/>
  </r>
  <r>
    <s v="ORD0748"/>
    <s v="C0491"/>
    <x v="77"/>
    <s v="Hoodie"/>
    <x v="1"/>
    <x v="0"/>
    <x v="0"/>
    <n v="2"/>
    <n v="5900"/>
    <x v="1"/>
    <n v="11210"/>
    <x v="10"/>
  </r>
  <r>
    <s v="ORD0749"/>
    <s v="C0147"/>
    <x v="109"/>
    <s v="T-Shirt"/>
    <x v="1"/>
    <x v="1"/>
    <x v="0"/>
    <n v="2"/>
    <n v="3200"/>
    <x v="0"/>
    <n v="6400"/>
    <x v="10"/>
  </r>
  <r>
    <s v="ORD0750"/>
    <s v="C0127"/>
    <x v="59"/>
    <s v="Wireless Mouse"/>
    <x v="2"/>
    <x v="1"/>
    <x v="0"/>
    <n v="1"/>
    <n v="3500"/>
    <x v="1"/>
    <n v="3325"/>
    <x v="5"/>
  </r>
  <r>
    <s v="ORD0751"/>
    <s v="C0070"/>
    <x v="51"/>
    <s v="Electric Kettle"/>
    <x v="0"/>
    <x v="1"/>
    <x v="1"/>
    <n v="1"/>
    <n v="4800"/>
    <x v="0"/>
    <n v="4800"/>
    <x v="0"/>
  </r>
  <r>
    <s v="ORD0752"/>
    <s v="C0001"/>
    <x v="244"/>
    <s v="USB-C Hub"/>
    <x v="2"/>
    <x v="1"/>
    <x v="0"/>
    <n v="2"/>
    <n v="4200"/>
    <x v="3"/>
    <n v="7140"/>
    <x v="12"/>
  </r>
  <r>
    <s v="ORD0753"/>
    <s v="C0430"/>
    <x v="128"/>
    <s v="Table Lamp"/>
    <x v="0"/>
    <x v="0"/>
    <x v="2"/>
    <n v="2"/>
    <n v="5400"/>
    <x v="3"/>
    <n v="9180"/>
    <x v="6"/>
  </r>
  <r>
    <s v="ORD0754"/>
    <s v="C0246"/>
    <x v="260"/>
    <s v="Body Lotion"/>
    <x v="4"/>
    <x v="0"/>
    <x v="1"/>
    <n v="1"/>
    <n v="2400"/>
    <x v="0"/>
    <n v="2400"/>
    <x v="11"/>
  </r>
  <r>
    <s v="ORD0755"/>
    <s v="C0204"/>
    <x v="9"/>
    <s v="Hair Dryer"/>
    <x v="4"/>
    <x v="1"/>
    <x v="2"/>
    <n v="1"/>
    <n v="6800"/>
    <x v="4"/>
    <n v="5440"/>
    <x v="5"/>
  </r>
  <r>
    <s v="ORD0756"/>
    <s v="C0140"/>
    <x v="19"/>
    <s v="T-Shirt"/>
    <x v="1"/>
    <x v="1"/>
    <x v="0"/>
    <n v="1"/>
    <n v="3200"/>
    <x v="1"/>
    <n v="3040"/>
    <x v="10"/>
  </r>
  <r>
    <s v="ORD0757"/>
    <s v="C0026"/>
    <x v="45"/>
    <s v="Hoodie"/>
    <x v="1"/>
    <x v="1"/>
    <x v="2"/>
    <n v="2"/>
    <n v="5900"/>
    <x v="0"/>
    <n v="11800"/>
    <x v="10"/>
  </r>
  <r>
    <s v="ORD0758"/>
    <s v="C0168"/>
    <x v="158"/>
    <s v="Wireless Mouse"/>
    <x v="2"/>
    <x v="1"/>
    <x v="2"/>
    <n v="2"/>
    <n v="3500"/>
    <x v="2"/>
    <n v="6300"/>
    <x v="1"/>
  </r>
  <r>
    <s v="ORD0759"/>
    <s v="C0269"/>
    <x v="209"/>
    <s v="Wireless Mouse"/>
    <x v="2"/>
    <x v="0"/>
    <x v="0"/>
    <n v="1"/>
    <n v="3500"/>
    <x v="0"/>
    <n v="3500"/>
    <x v="8"/>
  </r>
  <r>
    <s v="ORD0760"/>
    <s v="C0368"/>
    <x v="173"/>
    <s v="Facial Cleanser"/>
    <x v="4"/>
    <x v="0"/>
    <x v="0"/>
    <n v="2"/>
    <n v="2800"/>
    <x v="0"/>
    <n v="5600"/>
    <x v="10"/>
  </r>
  <r>
    <s v="ORD0761"/>
    <s v="C0451"/>
    <x v="170"/>
    <s v="Running Shoes"/>
    <x v="3"/>
    <x v="0"/>
    <x v="1"/>
    <n v="4"/>
    <n v="9200"/>
    <x v="0"/>
    <n v="36800"/>
    <x v="11"/>
  </r>
  <r>
    <s v="ORD0762"/>
    <s v="C0229"/>
    <x v="223"/>
    <s v="Table Lamp"/>
    <x v="0"/>
    <x v="0"/>
    <x v="0"/>
    <n v="1"/>
    <n v="5400"/>
    <x v="2"/>
    <n v="4860"/>
    <x v="12"/>
  </r>
  <r>
    <s v="ORD0763"/>
    <s v="C0465"/>
    <x v="187"/>
    <s v="Facial Cleanser"/>
    <x v="4"/>
    <x v="0"/>
    <x v="2"/>
    <n v="1"/>
    <n v="2800"/>
    <x v="2"/>
    <n v="2520"/>
    <x v="14"/>
  </r>
  <r>
    <s v="ORD0764"/>
    <s v="C0244"/>
    <x v="156"/>
    <s v="Hoodie"/>
    <x v="1"/>
    <x v="0"/>
    <x v="0"/>
    <n v="1"/>
    <n v="5900"/>
    <x v="2"/>
    <n v="5310"/>
    <x v="5"/>
  </r>
  <r>
    <s v="ORD0765"/>
    <s v="C0145"/>
    <x v="34"/>
    <s v="Skincare Set"/>
    <x v="4"/>
    <x v="1"/>
    <x v="2"/>
    <n v="1"/>
    <n v="7200"/>
    <x v="1"/>
    <n v="6840"/>
    <x v="3"/>
  </r>
  <r>
    <s v="ORD0766"/>
    <s v="C0046"/>
    <x v="20"/>
    <s v="Table Lamp"/>
    <x v="0"/>
    <x v="1"/>
    <x v="1"/>
    <n v="1"/>
    <n v="5400"/>
    <x v="2"/>
    <n v="4860"/>
    <x v="6"/>
  </r>
  <r>
    <s v="ORD0767"/>
    <s v="C0039"/>
    <x v="127"/>
    <s v="Wireless Mouse"/>
    <x v="2"/>
    <x v="1"/>
    <x v="1"/>
    <n v="1"/>
    <n v="3500"/>
    <x v="2"/>
    <n v="3150"/>
    <x v="13"/>
  </r>
  <r>
    <s v="ORD0768"/>
    <s v="C0190"/>
    <x v="224"/>
    <s v="Wireless Headphones"/>
    <x v="2"/>
    <x v="1"/>
    <x v="0"/>
    <n v="4"/>
    <n v="8500"/>
    <x v="2"/>
    <n v="30600"/>
    <x v="4"/>
  </r>
  <r>
    <s v="ORD0769"/>
    <s v="C0324"/>
    <x v="133"/>
    <s v="Sneakers"/>
    <x v="1"/>
    <x v="0"/>
    <x v="0"/>
    <n v="1"/>
    <n v="8900"/>
    <x v="2"/>
    <n v="8010"/>
    <x v="0"/>
  </r>
  <r>
    <s v="ORD0770"/>
    <s v="C0116"/>
    <x v="88"/>
    <s v="Air Fryer"/>
    <x v="0"/>
    <x v="1"/>
    <x v="2"/>
    <n v="1"/>
    <n v="9800"/>
    <x v="1"/>
    <n v="9310"/>
    <x v="11"/>
  </r>
  <r>
    <s v="ORD0771"/>
    <s v="C0076"/>
    <x v="261"/>
    <s v="Fitness Band"/>
    <x v="3"/>
    <x v="1"/>
    <x v="2"/>
    <n v="1"/>
    <n v="4100"/>
    <x v="0"/>
    <n v="4100"/>
    <x v="9"/>
  </r>
  <r>
    <s v="ORD0772"/>
    <s v="C0304"/>
    <x v="9"/>
    <s v="Table Lamp"/>
    <x v="0"/>
    <x v="0"/>
    <x v="0"/>
    <n v="1"/>
    <n v="5400"/>
    <x v="0"/>
    <n v="5400"/>
    <x v="0"/>
  </r>
  <r>
    <s v="ORD0773"/>
    <s v="C0285"/>
    <x v="48"/>
    <s v="Wireless Mouse"/>
    <x v="2"/>
    <x v="0"/>
    <x v="0"/>
    <n v="1"/>
    <n v="3500"/>
    <x v="0"/>
    <n v="3500"/>
    <x v="12"/>
  </r>
  <r>
    <s v="ORD0774"/>
    <s v="C0006"/>
    <x v="59"/>
    <s v="Jacket"/>
    <x v="1"/>
    <x v="1"/>
    <x v="0"/>
    <n v="2"/>
    <n v="11500"/>
    <x v="2"/>
    <n v="20700"/>
    <x v="10"/>
  </r>
  <r>
    <s v="ORD0775"/>
    <s v="C0138"/>
    <x v="215"/>
    <s v="Sneakers"/>
    <x v="1"/>
    <x v="1"/>
    <x v="1"/>
    <n v="1"/>
    <n v="8900"/>
    <x v="0"/>
    <n v="8900"/>
    <x v="12"/>
  </r>
  <r>
    <s v="ORD0776"/>
    <s v="C0022"/>
    <x v="97"/>
    <s v="Jacket"/>
    <x v="1"/>
    <x v="1"/>
    <x v="0"/>
    <n v="1"/>
    <n v="11500"/>
    <x v="1"/>
    <n v="10925"/>
    <x v="0"/>
  </r>
  <r>
    <s v="ORD0777"/>
    <s v="C0274"/>
    <x v="253"/>
    <s v="Table Lamp"/>
    <x v="0"/>
    <x v="0"/>
    <x v="2"/>
    <n v="1"/>
    <n v="5400"/>
    <x v="1"/>
    <n v="5130"/>
    <x v="3"/>
  </r>
  <r>
    <s v="ORD0778"/>
    <s v="C0045"/>
    <x v="171"/>
    <s v="Sneakers"/>
    <x v="1"/>
    <x v="1"/>
    <x v="0"/>
    <n v="2"/>
    <n v="8900"/>
    <x v="2"/>
    <n v="16020"/>
    <x v="13"/>
  </r>
  <r>
    <s v="ORD0779"/>
    <s v="C0441"/>
    <x v="218"/>
    <s v="Hair Dryer"/>
    <x v="4"/>
    <x v="0"/>
    <x v="0"/>
    <n v="1"/>
    <n v="6800"/>
    <x v="2"/>
    <n v="6120"/>
    <x v="10"/>
  </r>
  <r>
    <s v="ORD0780"/>
    <s v="C0323"/>
    <x v="161"/>
    <s v="Sneakers"/>
    <x v="1"/>
    <x v="0"/>
    <x v="2"/>
    <n v="2"/>
    <n v="8900"/>
    <x v="0"/>
    <n v="17800"/>
    <x v="13"/>
  </r>
  <r>
    <s v="ORD0781"/>
    <s v="C0191"/>
    <x v="202"/>
    <s v="USB-C Hub"/>
    <x v="2"/>
    <x v="1"/>
    <x v="2"/>
    <n v="1"/>
    <n v="4200"/>
    <x v="0"/>
    <n v="4200"/>
    <x v="9"/>
  </r>
  <r>
    <s v="ORD0782"/>
    <s v="C0119"/>
    <x v="170"/>
    <s v="Facial Cleanser"/>
    <x v="4"/>
    <x v="1"/>
    <x v="1"/>
    <n v="1"/>
    <n v="2800"/>
    <x v="2"/>
    <n v="2520"/>
    <x v="14"/>
  </r>
  <r>
    <s v="ORD0783"/>
    <s v="C0461"/>
    <x v="80"/>
    <s v="Sports Bag"/>
    <x v="3"/>
    <x v="0"/>
    <x v="0"/>
    <n v="1"/>
    <n v="5600"/>
    <x v="3"/>
    <n v="4760"/>
    <x v="4"/>
  </r>
  <r>
    <s v="ORD0784"/>
    <s v="C0398"/>
    <x v="168"/>
    <s v="T-Shirt"/>
    <x v="1"/>
    <x v="0"/>
    <x v="0"/>
    <n v="4"/>
    <n v="3200"/>
    <x v="1"/>
    <n v="12160"/>
    <x v="13"/>
  </r>
  <r>
    <s v="ORD0785"/>
    <s v="C0239"/>
    <x v="159"/>
    <s v="Air Fryer"/>
    <x v="0"/>
    <x v="0"/>
    <x v="1"/>
    <n v="2"/>
    <n v="9800"/>
    <x v="2"/>
    <n v="17640"/>
    <x v="2"/>
  </r>
  <r>
    <s v="ORD0786"/>
    <s v="C0264"/>
    <x v="228"/>
    <s v="Hoodie"/>
    <x v="1"/>
    <x v="0"/>
    <x v="0"/>
    <n v="2"/>
    <n v="5900"/>
    <x v="1"/>
    <n v="11210"/>
    <x v="7"/>
  </r>
  <r>
    <s v="ORD0787"/>
    <s v="C0289"/>
    <x v="41"/>
    <s v="Sneakers"/>
    <x v="1"/>
    <x v="0"/>
    <x v="1"/>
    <n v="2"/>
    <n v="8900"/>
    <x v="1"/>
    <n v="16910"/>
    <x v="1"/>
  </r>
  <r>
    <s v="ORD0788"/>
    <s v="C0096"/>
    <x v="262"/>
    <s v="Hoodie"/>
    <x v="1"/>
    <x v="1"/>
    <x v="1"/>
    <n v="2"/>
    <n v="5900"/>
    <x v="3"/>
    <n v="10030"/>
    <x v="12"/>
  </r>
  <r>
    <s v="ORD0789"/>
    <s v="C0236"/>
    <x v="242"/>
    <s v="Jacket"/>
    <x v="1"/>
    <x v="0"/>
    <x v="0"/>
    <n v="1"/>
    <n v="11500"/>
    <x v="2"/>
    <n v="10350"/>
    <x v="3"/>
  </r>
  <r>
    <s v="ORD0790"/>
    <s v="C0341"/>
    <x v="13"/>
    <s v="Bluetooth Speaker"/>
    <x v="2"/>
    <x v="0"/>
    <x v="0"/>
    <n v="1"/>
    <n v="6200"/>
    <x v="0"/>
    <n v="6200"/>
    <x v="0"/>
  </r>
  <r>
    <s v="ORD0791"/>
    <s v="C0145"/>
    <x v="182"/>
    <s v="USB-C Hub"/>
    <x v="2"/>
    <x v="1"/>
    <x v="0"/>
    <n v="1"/>
    <n v="4200"/>
    <x v="1"/>
    <n v="3990"/>
    <x v="0"/>
  </r>
  <r>
    <s v="ORD0792"/>
    <s v="C0067"/>
    <x v="244"/>
    <s v="Wireless Mouse"/>
    <x v="2"/>
    <x v="1"/>
    <x v="0"/>
    <n v="1"/>
    <n v="3500"/>
    <x v="1"/>
    <n v="3325"/>
    <x v="4"/>
  </r>
  <r>
    <s v="ORD0793"/>
    <s v="C0211"/>
    <x v="91"/>
    <s v="Skincare Set"/>
    <x v="4"/>
    <x v="0"/>
    <x v="0"/>
    <n v="1"/>
    <n v="7200"/>
    <x v="3"/>
    <n v="6120"/>
    <x v="1"/>
  </r>
  <r>
    <s v="ORD0794"/>
    <s v="C0080"/>
    <x v="236"/>
    <s v="Body Lotion"/>
    <x v="4"/>
    <x v="1"/>
    <x v="2"/>
    <n v="1"/>
    <n v="2400"/>
    <x v="0"/>
    <n v="2400"/>
    <x v="9"/>
  </r>
  <r>
    <s v="ORD0795"/>
    <s v="C0081"/>
    <x v="80"/>
    <s v="Air Fryer"/>
    <x v="0"/>
    <x v="1"/>
    <x v="2"/>
    <n v="2"/>
    <n v="9800"/>
    <x v="1"/>
    <n v="18620"/>
    <x v="2"/>
  </r>
  <r>
    <s v="ORD0796"/>
    <s v="C0019"/>
    <x v="158"/>
    <s v="Wireless Mouse"/>
    <x v="2"/>
    <x v="1"/>
    <x v="0"/>
    <n v="1"/>
    <n v="3500"/>
    <x v="1"/>
    <n v="3325"/>
    <x v="11"/>
  </r>
  <r>
    <s v="ORD0797"/>
    <s v="C0394"/>
    <x v="257"/>
    <s v="Body Lotion"/>
    <x v="4"/>
    <x v="0"/>
    <x v="0"/>
    <n v="1"/>
    <n v="2400"/>
    <x v="0"/>
    <n v="2400"/>
    <x v="8"/>
  </r>
  <r>
    <s v="ORD0798"/>
    <s v="C0299"/>
    <x v="34"/>
    <s v="Table Lamp"/>
    <x v="0"/>
    <x v="0"/>
    <x v="0"/>
    <n v="1"/>
    <n v="5400"/>
    <x v="0"/>
    <n v="5400"/>
    <x v="0"/>
  </r>
  <r>
    <s v="ORD0799"/>
    <s v="C0486"/>
    <x v="108"/>
    <s v="Bluetooth Speaker"/>
    <x v="2"/>
    <x v="0"/>
    <x v="0"/>
    <n v="1"/>
    <n v="6200"/>
    <x v="1"/>
    <n v="5890"/>
    <x v="8"/>
  </r>
  <r>
    <s v="ORD0800"/>
    <s v="C0343"/>
    <x v="70"/>
    <s v="Beauty Mirror"/>
    <x v="4"/>
    <x v="0"/>
    <x v="2"/>
    <n v="1"/>
    <n v="4500"/>
    <x v="1"/>
    <n v="4275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F6415-785A-411D-B29D-B53C53CE25B9}" name="ピボットテーブル22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H3:K9" firstHeaderRow="0" firstDataRow="1" firstDataCol="1"/>
  <pivotFields count="13">
    <pivotField dataField="1"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個数 / Order_ID" fld="0" subtotal="count" baseField="0" baseItem="0"/>
    <dataField name="合計 / Revenue" fld="10" baseField="0" baseItem="0"/>
    <dataField name="平均 / Averag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525F8-347C-4162-B706-0BAA8D33F322}" name="ピボットテーブル2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E3:F9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合計 /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50144-4711-4742-B80C-4AD8DFEFE0C0}" name="ピボットテーブル1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平均 / Reven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EB87B-B725-4D8F-8855-AE9800C0B2C4}" name="ピボットテーブル12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4">
  <location ref="A3:B13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合計 / Revenue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4BEEF-A014-4616-A7EA-A8314998A3B6}" name="ピボットテーブル14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276" firstHeaderRow="1" firstDataRow="1" firstDataCol="1"/>
  <pivotFields count="13">
    <pivotField dataField="1" showAll="0"/>
    <pivotField showAll="0"/>
    <pivotField axis="axisRow"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2"/>
    <field x="2"/>
  </rowFields>
  <rowItems count="27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2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3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>
      <x v="4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>
      <x v="5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>
      <x v="6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>
      <x v="7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>
      <x v="8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>
      <x v="9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t="grand">
      <x/>
    </i>
  </rowItems>
  <colItems count="1">
    <i/>
  </colItems>
  <dataFields count="1">
    <dataField name="個数 /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56906-4FBE-47ED-A92C-59E1310469A3}" name="ピボットテーブル15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276" firstHeaderRow="1" firstDataRow="1" firstDataCol="1"/>
  <pivotFields count="13">
    <pivotField showAll="0"/>
    <pivotField showAll="0"/>
    <pivotField axis="axisRow"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2"/>
    <field x="2"/>
  </rowFields>
  <rowItems count="27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2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3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>
      <x v="4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>
      <x v="5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>
      <x v="6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>
      <x v="7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>
      <x v="8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>
      <x v="9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t="grand">
      <x/>
    </i>
  </rowItems>
  <colItems count="1">
    <i/>
  </colItems>
  <dataFields count="1">
    <dataField name="平均 / Reven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B06A6-9D86-48B4-96EF-11B566523AAF}" name="ピボットテーブル16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9">
  <location ref="A3:B19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6">
        <item x="5"/>
        <item x="4"/>
        <item x="11"/>
        <item x="0"/>
        <item x="8"/>
        <item x="9"/>
        <item x="7"/>
        <item x="10"/>
        <item x="2"/>
        <item x="6"/>
        <item x="13"/>
        <item x="12"/>
        <item x="3"/>
        <item x="1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合計 / Revenue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301DD-E40D-4A49-9B73-B77409C82E40}" name="ピボットテーブル17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9" firstHeaderRow="1" firstDataRow="1" firstDataCol="1"/>
  <pivotFields count="13">
    <pivotField dataField="1"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5"/>
        <item x="4"/>
        <item x="11"/>
        <item x="0"/>
        <item x="8"/>
        <item x="9"/>
        <item x="7"/>
        <item x="10"/>
        <item x="2"/>
        <item x="6"/>
        <item x="13"/>
        <item x="12"/>
        <item x="3"/>
        <item x="1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個数 /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203B7-B695-4BC2-84E6-E7849348DE52}" name="ピボットテーブル18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9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6">
        <item x="5"/>
        <item x="4"/>
        <item x="11"/>
        <item x="0"/>
        <item x="8"/>
        <item x="9"/>
        <item x="7"/>
        <item x="10"/>
        <item x="2"/>
        <item x="6"/>
        <item x="13"/>
        <item x="12"/>
        <item x="3"/>
        <item x="1"/>
        <item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平均 / Reven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3069F-8107-4616-8D01-394394BC5E9F}" name="ピボットテーブル20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13:E17" firstHeaderRow="1" firstDataRow="2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合計 /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A0AEE-3604-4741-82C4-01FABE8A4A26}" name="ピボットテーブル19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10" firstHeaderRow="1" firstDataRow="2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合計 /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63C90-985C-411F-AF4D-EB2B38566523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合計 / Revenue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CD0FF-7B16-4D5D-93D0-46BC4E5046F0}" name="ピボットテーブル2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dataField="1"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個数 /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87126-F9A7-4E33-996A-D4929829C4F5}" name="ピボットテーブル3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平均 / Reven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29C3F-FD45-4656-89AD-94E59A23D6B0}" name="ピボットテーブル4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合計 / Revenue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18F46-8877-4C50-B880-673DC1E9308A}" name="ピボットテーブル5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dataField="1"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個数 /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A1A84-BC12-4BA0-939D-0FB5AC722623}" name="ピボットテーブル6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平均 / Reven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FC451-1A0F-41BE-AAF5-EC1411EC1DAD}" name="ピボットテーブル7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合計 / Revenue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533A1-3AA2-4A14-869F-D90C66C72822}" name="ピボットテーブル8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dataField="1"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個数 /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086AC-CAE5-4777-9E52-70130CA38ED2}" name="ピボットテーブル9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平均 / Reven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8E3AD-7057-4CE2-84EA-28FA95EF412D}" name="ピボットテーブル10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dataField="1" showAll="0"/>
    <pivotField showAll="0"/>
    <pivotField numFmtId="14" showAll="0">
      <items count="264">
        <item x="122"/>
        <item x="45"/>
        <item x="61"/>
        <item x="202"/>
        <item x="205"/>
        <item x="105"/>
        <item x="90"/>
        <item x="227"/>
        <item x="253"/>
        <item x="39"/>
        <item x="156"/>
        <item x="159"/>
        <item x="130"/>
        <item x="153"/>
        <item x="219"/>
        <item x="148"/>
        <item x="162"/>
        <item x="77"/>
        <item x="79"/>
        <item x="225"/>
        <item x="16"/>
        <item x="174"/>
        <item x="207"/>
        <item x="5"/>
        <item x="30"/>
        <item x="210"/>
        <item x="60"/>
        <item x="72"/>
        <item x="101"/>
        <item x="234"/>
        <item x="69"/>
        <item x="114"/>
        <item x="204"/>
        <item x="173"/>
        <item x="169"/>
        <item x="113"/>
        <item x="141"/>
        <item x="155"/>
        <item x="133"/>
        <item x="131"/>
        <item x="95"/>
        <item x="25"/>
        <item x="246"/>
        <item x="135"/>
        <item x="213"/>
        <item x="172"/>
        <item x="18"/>
        <item x="14"/>
        <item x="252"/>
        <item x="46"/>
        <item x="21"/>
        <item x="236"/>
        <item x="7"/>
        <item x="181"/>
        <item x="165"/>
        <item x="96"/>
        <item x="164"/>
        <item x="24"/>
        <item x="214"/>
        <item x="217"/>
        <item x="88"/>
        <item x="152"/>
        <item x="126"/>
        <item x="168"/>
        <item x="23"/>
        <item x="57"/>
        <item x="48"/>
        <item x="222"/>
        <item x="91"/>
        <item x="215"/>
        <item x="257"/>
        <item x="183"/>
        <item x="242"/>
        <item x="102"/>
        <item x="120"/>
        <item x="43"/>
        <item x="74"/>
        <item x="193"/>
        <item x="180"/>
        <item x="144"/>
        <item x="26"/>
        <item x="254"/>
        <item x="208"/>
        <item x="15"/>
        <item x="147"/>
        <item x="138"/>
        <item x="59"/>
        <item x="99"/>
        <item x="17"/>
        <item x="94"/>
        <item x="86"/>
        <item x="104"/>
        <item x="31"/>
        <item x="233"/>
        <item x="55"/>
        <item x="85"/>
        <item x="226"/>
        <item x="11"/>
        <item x="243"/>
        <item x="150"/>
        <item x="50"/>
        <item x="196"/>
        <item x="151"/>
        <item x="228"/>
        <item x="251"/>
        <item x="160"/>
        <item x="41"/>
        <item x="142"/>
        <item x="167"/>
        <item x="195"/>
        <item x="111"/>
        <item x="127"/>
        <item x="35"/>
        <item x="109"/>
        <item x="235"/>
        <item x="163"/>
        <item x="33"/>
        <item x="203"/>
        <item x="175"/>
        <item x="42"/>
        <item x="189"/>
        <item x="123"/>
        <item x="247"/>
        <item x="80"/>
        <item x="166"/>
        <item x="118"/>
        <item x="128"/>
        <item x="100"/>
        <item x="224"/>
        <item x="37"/>
        <item x="199"/>
        <item x="258"/>
        <item x="171"/>
        <item x="232"/>
        <item x="107"/>
        <item x="125"/>
        <item x="188"/>
        <item x="262"/>
        <item x="176"/>
        <item x="54"/>
        <item x="10"/>
        <item x="124"/>
        <item x="149"/>
        <item x="170"/>
        <item x="137"/>
        <item x="184"/>
        <item x="229"/>
        <item x="140"/>
        <item x="145"/>
        <item x="19"/>
        <item x="52"/>
        <item x="154"/>
        <item x="71"/>
        <item x="115"/>
        <item x="97"/>
        <item x="2"/>
        <item x="191"/>
        <item x="136"/>
        <item x="32"/>
        <item x="239"/>
        <item x="87"/>
        <item x="53"/>
        <item x="211"/>
        <item x="249"/>
        <item x="64"/>
        <item x="200"/>
        <item x="36"/>
        <item x="244"/>
        <item x="78"/>
        <item x="121"/>
        <item x="261"/>
        <item x="73"/>
        <item x="221"/>
        <item x="187"/>
        <item x="186"/>
        <item x="29"/>
        <item x="157"/>
        <item x="89"/>
        <item x="197"/>
        <item x="75"/>
        <item x="194"/>
        <item x="28"/>
        <item x="178"/>
        <item x="70"/>
        <item x="65"/>
        <item x="256"/>
        <item x="241"/>
        <item x="209"/>
        <item x="8"/>
        <item x="34"/>
        <item x="3"/>
        <item x="260"/>
        <item x="238"/>
        <item x="134"/>
        <item x="67"/>
        <item x="1"/>
        <item x="6"/>
        <item x="158"/>
        <item x="0"/>
        <item x="44"/>
        <item x="240"/>
        <item x="132"/>
        <item x="139"/>
        <item x="190"/>
        <item x="230"/>
        <item x="4"/>
        <item x="58"/>
        <item x="93"/>
        <item x="218"/>
        <item x="40"/>
        <item x="83"/>
        <item x="68"/>
        <item x="179"/>
        <item x="223"/>
        <item x="108"/>
        <item x="216"/>
        <item x="220"/>
        <item x="106"/>
        <item x="20"/>
        <item x="98"/>
        <item x="201"/>
        <item x="13"/>
        <item x="250"/>
        <item x="81"/>
        <item x="259"/>
        <item x="66"/>
        <item x="185"/>
        <item x="63"/>
        <item x="119"/>
        <item x="212"/>
        <item x="192"/>
        <item x="237"/>
        <item x="206"/>
        <item x="84"/>
        <item x="198"/>
        <item x="103"/>
        <item x="49"/>
        <item x="129"/>
        <item x="82"/>
        <item x="56"/>
        <item x="27"/>
        <item x="146"/>
        <item x="182"/>
        <item x="248"/>
        <item x="22"/>
        <item x="117"/>
        <item x="51"/>
        <item x="9"/>
        <item x="112"/>
        <item x="47"/>
        <item x="177"/>
        <item x="231"/>
        <item x="76"/>
        <item x="255"/>
        <item x="38"/>
        <item x="161"/>
        <item x="245"/>
        <item x="110"/>
        <item x="116"/>
        <item x="92"/>
        <item x="62"/>
        <item x="14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個数 /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4C5B-EC86-4017-B4AE-5249ACC1DA6F}">
  <dimension ref="A1:L801"/>
  <sheetViews>
    <sheetView tabSelected="1" workbookViewId="0"/>
  </sheetViews>
  <sheetFormatPr defaultRowHeight="18"/>
  <cols>
    <col min="1" max="12" width="11.16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1">
        <v>46229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7600</v>
      </c>
      <c r="J2">
        <v>0</v>
      </c>
      <c r="K2">
        <v>7600</v>
      </c>
      <c r="L2" t="s">
        <v>18</v>
      </c>
    </row>
    <row r="3" spans="1:12">
      <c r="A3" t="s">
        <v>19</v>
      </c>
      <c r="B3" t="s">
        <v>20</v>
      </c>
      <c r="C3" s="1">
        <v>46225</v>
      </c>
      <c r="D3" t="s">
        <v>21</v>
      </c>
      <c r="E3" t="s">
        <v>22</v>
      </c>
      <c r="F3" t="s">
        <v>16</v>
      </c>
      <c r="G3" t="s">
        <v>23</v>
      </c>
      <c r="H3">
        <v>2</v>
      </c>
      <c r="I3">
        <v>7600</v>
      </c>
      <c r="J3">
        <v>0</v>
      </c>
      <c r="K3">
        <v>15200</v>
      </c>
      <c r="L3" t="s">
        <v>24</v>
      </c>
    </row>
    <row r="4" spans="1:12">
      <c r="A4" t="s">
        <v>25</v>
      </c>
      <c r="B4" t="s">
        <v>26</v>
      </c>
      <c r="C4" s="1">
        <v>46184</v>
      </c>
      <c r="D4" t="s">
        <v>27</v>
      </c>
      <c r="E4" t="s">
        <v>28</v>
      </c>
      <c r="F4" t="s">
        <v>16</v>
      </c>
      <c r="G4" t="s">
        <v>29</v>
      </c>
      <c r="H4">
        <v>1</v>
      </c>
      <c r="I4">
        <v>3500</v>
      </c>
      <c r="J4">
        <v>0</v>
      </c>
      <c r="K4">
        <v>3500</v>
      </c>
      <c r="L4" t="s">
        <v>30</v>
      </c>
    </row>
    <row r="5" spans="1:12">
      <c r="A5" t="s">
        <v>31</v>
      </c>
      <c r="B5" t="s">
        <v>32</v>
      </c>
      <c r="C5" s="1">
        <v>46220</v>
      </c>
      <c r="D5" t="s">
        <v>33</v>
      </c>
      <c r="E5" t="s">
        <v>28</v>
      </c>
      <c r="F5" t="s">
        <v>34</v>
      </c>
      <c r="G5" t="s">
        <v>29</v>
      </c>
      <c r="H5">
        <v>1</v>
      </c>
      <c r="I5">
        <v>8500</v>
      </c>
      <c r="J5">
        <v>0.05</v>
      </c>
      <c r="K5">
        <v>8075</v>
      </c>
      <c r="L5" t="s">
        <v>35</v>
      </c>
    </row>
    <row r="6" spans="1:12">
      <c r="A6" t="s">
        <v>36</v>
      </c>
      <c r="B6" t="s">
        <v>37</v>
      </c>
      <c r="C6" s="1">
        <v>46236</v>
      </c>
      <c r="D6" t="s">
        <v>27</v>
      </c>
      <c r="E6" t="s">
        <v>28</v>
      </c>
      <c r="F6" t="s">
        <v>34</v>
      </c>
      <c r="G6" t="s">
        <v>29</v>
      </c>
      <c r="H6">
        <v>3</v>
      </c>
      <c r="I6">
        <v>3500</v>
      </c>
      <c r="J6">
        <v>0.1</v>
      </c>
      <c r="K6">
        <v>9450</v>
      </c>
      <c r="L6" t="s">
        <v>38</v>
      </c>
    </row>
    <row r="7" spans="1:12">
      <c r="A7" t="s">
        <v>39</v>
      </c>
      <c r="B7" t="s">
        <v>40</v>
      </c>
      <c r="C7" s="1">
        <v>46047</v>
      </c>
      <c r="D7" t="s">
        <v>41</v>
      </c>
      <c r="E7" t="s">
        <v>15</v>
      </c>
      <c r="F7" t="s">
        <v>34</v>
      </c>
      <c r="G7" t="s">
        <v>17</v>
      </c>
      <c r="H7">
        <v>2</v>
      </c>
      <c r="I7">
        <v>5400</v>
      </c>
      <c r="J7">
        <v>0.1</v>
      </c>
      <c r="K7">
        <v>9720</v>
      </c>
      <c r="L7" t="s">
        <v>18</v>
      </c>
    </row>
    <row r="8" spans="1:12">
      <c r="A8" t="s">
        <v>42</v>
      </c>
      <c r="B8" t="s">
        <v>43</v>
      </c>
      <c r="C8" s="1">
        <v>46226</v>
      </c>
      <c r="D8" t="s">
        <v>41</v>
      </c>
      <c r="E8" t="s">
        <v>15</v>
      </c>
      <c r="F8" t="s">
        <v>16</v>
      </c>
      <c r="G8" t="s">
        <v>29</v>
      </c>
      <c r="H8">
        <v>2</v>
      </c>
      <c r="I8">
        <v>5400</v>
      </c>
      <c r="J8">
        <v>0</v>
      </c>
      <c r="K8">
        <v>10800</v>
      </c>
      <c r="L8" t="s">
        <v>35</v>
      </c>
    </row>
    <row r="9" spans="1:12">
      <c r="A9" t="s">
        <v>44</v>
      </c>
      <c r="B9" t="s">
        <v>45</v>
      </c>
      <c r="C9" s="1">
        <v>46078</v>
      </c>
      <c r="D9" t="s">
        <v>46</v>
      </c>
      <c r="E9" t="s">
        <v>47</v>
      </c>
      <c r="F9" t="s">
        <v>34</v>
      </c>
      <c r="G9" t="s">
        <v>17</v>
      </c>
      <c r="H9">
        <v>2</v>
      </c>
      <c r="I9">
        <v>9200</v>
      </c>
      <c r="J9">
        <v>0</v>
      </c>
      <c r="K9">
        <v>18400</v>
      </c>
      <c r="L9" t="s">
        <v>35</v>
      </c>
    </row>
    <row r="10" spans="1:12">
      <c r="A10" t="s">
        <v>48</v>
      </c>
      <c r="B10" t="s">
        <v>49</v>
      </c>
      <c r="C10" s="1">
        <v>46218</v>
      </c>
      <c r="D10" t="s">
        <v>50</v>
      </c>
      <c r="E10" t="s">
        <v>28</v>
      </c>
      <c r="F10" t="s">
        <v>16</v>
      </c>
      <c r="G10" t="s">
        <v>23</v>
      </c>
      <c r="H10">
        <v>1</v>
      </c>
      <c r="I10">
        <v>6200</v>
      </c>
      <c r="J10">
        <v>0.1</v>
      </c>
      <c r="K10">
        <v>5580</v>
      </c>
      <c r="L10" t="s">
        <v>24</v>
      </c>
    </row>
    <row r="11" spans="1:12">
      <c r="A11" t="s">
        <v>51</v>
      </c>
      <c r="B11" t="s">
        <v>52</v>
      </c>
      <c r="C11" s="1">
        <v>46280</v>
      </c>
      <c r="D11" t="s">
        <v>53</v>
      </c>
      <c r="E11" t="s">
        <v>54</v>
      </c>
      <c r="F11" t="s">
        <v>34</v>
      </c>
      <c r="G11" t="s">
        <v>17</v>
      </c>
      <c r="H11">
        <v>2</v>
      </c>
      <c r="I11">
        <v>4500</v>
      </c>
      <c r="J11">
        <v>0</v>
      </c>
      <c r="K11">
        <v>9000</v>
      </c>
      <c r="L11" t="s">
        <v>35</v>
      </c>
    </row>
    <row r="12" spans="1:12">
      <c r="A12" t="s">
        <v>55</v>
      </c>
      <c r="B12" t="s">
        <v>56</v>
      </c>
      <c r="C12" s="1">
        <v>46169</v>
      </c>
      <c r="D12" t="s">
        <v>57</v>
      </c>
      <c r="E12" t="s">
        <v>54</v>
      </c>
      <c r="F12" t="s">
        <v>16</v>
      </c>
      <c r="G12" t="s">
        <v>17</v>
      </c>
      <c r="H12">
        <v>1</v>
      </c>
      <c r="I12">
        <v>2400</v>
      </c>
      <c r="J12">
        <v>0.1</v>
      </c>
      <c r="K12">
        <v>2160</v>
      </c>
      <c r="L12" t="s">
        <v>18</v>
      </c>
    </row>
    <row r="13" spans="1:12">
      <c r="A13" t="s">
        <v>58</v>
      </c>
      <c r="B13" t="s">
        <v>59</v>
      </c>
      <c r="C13" s="1">
        <v>46124</v>
      </c>
      <c r="D13" t="s">
        <v>60</v>
      </c>
      <c r="E13" t="s">
        <v>28</v>
      </c>
      <c r="F13" t="s">
        <v>16</v>
      </c>
      <c r="G13" t="s">
        <v>17</v>
      </c>
      <c r="H13">
        <v>2</v>
      </c>
      <c r="I13">
        <v>12800</v>
      </c>
      <c r="J13">
        <v>0.1</v>
      </c>
      <c r="K13">
        <v>23040</v>
      </c>
      <c r="L13" t="s">
        <v>61</v>
      </c>
    </row>
    <row r="14" spans="1:12">
      <c r="A14" t="s">
        <v>62</v>
      </c>
      <c r="B14" t="s">
        <v>63</v>
      </c>
      <c r="C14" s="1">
        <v>46295</v>
      </c>
      <c r="D14" t="s">
        <v>46</v>
      </c>
      <c r="E14" t="s">
        <v>47</v>
      </c>
      <c r="F14" t="s">
        <v>34</v>
      </c>
      <c r="G14" t="s">
        <v>29</v>
      </c>
      <c r="H14">
        <v>1</v>
      </c>
      <c r="I14">
        <v>9200</v>
      </c>
      <c r="J14">
        <v>0.15</v>
      </c>
      <c r="K14">
        <v>7820</v>
      </c>
      <c r="L14" t="s">
        <v>64</v>
      </c>
    </row>
    <row r="15" spans="1:12">
      <c r="A15" t="s">
        <v>65</v>
      </c>
      <c r="B15" t="s">
        <v>66</v>
      </c>
      <c r="C15" s="1">
        <v>46253</v>
      </c>
      <c r="D15" t="s">
        <v>67</v>
      </c>
      <c r="E15" t="s">
        <v>54</v>
      </c>
      <c r="F15" t="s">
        <v>16</v>
      </c>
      <c r="G15" t="s">
        <v>23</v>
      </c>
      <c r="H15">
        <v>1</v>
      </c>
      <c r="I15">
        <v>2800</v>
      </c>
      <c r="J15">
        <v>0</v>
      </c>
      <c r="K15">
        <v>2800</v>
      </c>
      <c r="L15" t="s">
        <v>68</v>
      </c>
    </row>
    <row r="16" spans="1:12">
      <c r="A16" t="s">
        <v>69</v>
      </c>
      <c r="B16" t="s">
        <v>70</v>
      </c>
      <c r="C16" s="1">
        <v>46072</v>
      </c>
      <c r="D16" t="s">
        <v>71</v>
      </c>
      <c r="E16" t="s">
        <v>47</v>
      </c>
      <c r="F16" t="s">
        <v>16</v>
      </c>
      <c r="G16" t="s">
        <v>29</v>
      </c>
      <c r="H16">
        <v>1</v>
      </c>
      <c r="I16">
        <v>5600</v>
      </c>
      <c r="J16">
        <v>0</v>
      </c>
      <c r="K16">
        <v>5600</v>
      </c>
      <c r="L16" t="s">
        <v>72</v>
      </c>
    </row>
    <row r="17" spans="1:12">
      <c r="A17" t="s">
        <v>73</v>
      </c>
      <c r="B17" t="s">
        <v>74</v>
      </c>
      <c r="C17" s="1">
        <v>46109</v>
      </c>
      <c r="D17" t="s">
        <v>53</v>
      </c>
      <c r="E17" t="s">
        <v>54</v>
      </c>
      <c r="F17" t="s">
        <v>16</v>
      </c>
      <c r="G17" t="s">
        <v>23</v>
      </c>
      <c r="H17">
        <v>2</v>
      </c>
      <c r="I17">
        <v>4500</v>
      </c>
      <c r="J17">
        <v>0.1</v>
      </c>
      <c r="K17">
        <v>8100</v>
      </c>
      <c r="L17" t="s">
        <v>35</v>
      </c>
    </row>
    <row r="18" spans="1:12">
      <c r="A18" t="s">
        <v>75</v>
      </c>
      <c r="B18" t="s">
        <v>76</v>
      </c>
      <c r="C18" s="1">
        <v>46044</v>
      </c>
      <c r="D18" t="s">
        <v>77</v>
      </c>
      <c r="E18" t="s">
        <v>54</v>
      </c>
      <c r="F18" t="s">
        <v>34</v>
      </c>
      <c r="G18" t="s">
        <v>29</v>
      </c>
      <c r="H18">
        <v>2</v>
      </c>
      <c r="I18">
        <v>7200</v>
      </c>
      <c r="J18">
        <v>0.15</v>
      </c>
      <c r="K18">
        <v>12240</v>
      </c>
      <c r="L18" t="s">
        <v>61</v>
      </c>
    </row>
    <row r="19" spans="1:12">
      <c r="A19" t="s">
        <v>78</v>
      </c>
      <c r="B19" t="s">
        <v>79</v>
      </c>
      <c r="C19" s="1">
        <v>46114</v>
      </c>
      <c r="D19" t="s">
        <v>77</v>
      </c>
      <c r="E19" t="s">
        <v>54</v>
      </c>
      <c r="F19" t="s">
        <v>34</v>
      </c>
      <c r="G19" t="s">
        <v>23</v>
      </c>
      <c r="H19">
        <v>2</v>
      </c>
      <c r="I19">
        <v>7200</v>
      </c>
      <c r="J19">
        <v>0.05</v>
      </c>
      <c r="K19">
        <v>13680</v>
      </c>
      <c r="L19" t="s">
        <v>35</v>
      </c>
    </row>
    <row r="20" spans="1:12">
      <c r="A20" t="s">
        <v>80</v>
      </c>
      <c r="B20" t="s">
        <v>81</v>
      </c>
      <c r="C20" s="1">
        <v>46071</v>
      </c>
      <c r="D20" t="s">
        <v>27</v>
      </c>
      <c r="E20" t="s">
        <v>28</v>
      </c>
      <c r="F20" t="s">
        <v>34</v>
      </c>
      <c r="G20" t="s">
        <v>29</v>
      </c>
      <c r="H20">
        <v>1</v>
      </c>
      <c r="I20">
        <v>3500</v>
      </c>
      <c r="J20">
        <v>0.1</v>
      </c>
      <c r="K20">
        <v>3150</v>
      </c>
      <c r="L20" t="s">
        <v>64</v>
      </c>
    </row>
    <row r="21" spans="1:12">
      <c r="A21" t="s">
        <v>82</v>
      </c>
      <c r="B21" t="s">
        <v>83</v>
      </c>
      <c r="C21" s="1">
        <v>46178</v>
      </c>
      <c r="D21" t="s">
        <v>84</v>
      </c>
      <c r="E21" t="s">
        <v>22</v>
      </c>
      <c r="F21" t="s">
        <v>16</v>
      </c>
      <c r="G21" t="s">
        <v>17</v>
      </c>
      <c r="H21">
        <v>2</v>
      </c>
      <c r="I21">
        <v>8900</v>
      </c>
      <c r="J21">
        <v>0.1</v>
      </c>
      <c r="K21">
        <v>16020</v>
      </c>
      <c r="L21" t="s">
        <v>85</v>
      </c>
    </row>
    <row r="22" spans="1:12">
      <c r="A22" t="s">
        <v>86</v>
      </c>
      <c r="B22" t="s">
        <v>87</v>
      </c>
      <c r="C22" s="1">
        <v>46250</v>
      </c>
      <c r="D22" t="s">
        <v>88</v>
      </c>
      <c r="E22" t="s">
        <v>15</v>
      </c>
      <c r="F22" t="s">
        <v>34</v>
      </c>
      <c r="G22" t="s">
        <v>29</v>
      </c>
      <c r="H22">
        <v>1</v>
      </c>
      <c r="I22">
        <v>4800</v>
      </c>
      <c r="J22">
        <v>0.05</v>
      </c>
      <c r="K22">
        <v>4560</v>
      </c>
      <c r="L22" t="s">
        <v>85</v>
      </c>
    </row>
    <row r="23" spans="1:12">
      <c r="A23" t="s">
        <v>89</v>
      </c>
      <c r="B23" t="s">
        <v>90</v>
      </c>
      <c r="C23" s="1">
        <v>46076</v>
      </c>
      <c r="D23" t="s">
        <v>91</v>
      </c>
      <c r="E23" t="s">
        <v>22</v>
      </c>
      <c r="F23" t="s">
        <v>34</v>
      </c>
      <c r="G23" t="s">
        <v>17</v>
      </c>
      <c r="H23">
        <v>2</v>
      </c>
      <c r="I23">
        <v>11500</v>
      </c>
      <c r="J23">
        <v>0</v>
      </c>
      <c r="K23">
        <v>23000</v>
      </c>
      <c r="L23" t="s">
        <v>85</v>
      </c>
    </row>
    <row r="24" spans="1:12">
      <c r="A24" t="s">
        <v>92</v>
      </c>
      <c r="B24" t="s">
        <v>93</v>
      </c>
      <c r="C24" s="1">
        <v>46277</v>
      </c>
      <c r="D24" t="s">
        <v>14</v>
      </c>
      <c r="E24" t="s">
        <v>15</v>
      </c>
      <c r="F24" t="s">
        <v>34</v>
      </c>
      <c r="G24" t="s">
        <v>17</v>
      </c>
      <c r="H24">
        <v>1</v>
      </c>
      <c r="I24">
        <v>7600</v>
      </c>
      <c r="J24">
        <v>0.05</v>
      </c>
      <c r="K24">
        <v>7220</v>
      </c>
      <c r="L24" t="s">
        <v>61</v>
      </c>
    </row>
    <row r="25" spans="1:12">
      <c r="A25" t="s">
        <v>94</v>
      </c>
      <c r="B25" t="s">
        <v>95</v>
      </c>
      <c r="C25" s="1">
        <v>46090</v>
      </c>
      <c r="D25" t="s">
        <v>96</v>
      </c>
      <c r="E25" t="s">
        <v>22</v>
      </c>
      <c r="F25" t="s">
        <v>16</v>
      </c>
      <c r="G25" t="s">
        <v>23</v>
      </c>
      <c r="H25">
        <v>2</v>
      </c>
      <c r="I25">
        <v>3200</v>
      </c>
      <c r="J25">
        <v>0.05</v>
      </c>
      <c r="K25">
        <v>6080</v>
      </c>
      <c r="L25" t="s">
        <v>97</v>
      </c>
    </row>
    <row r="26" spans="1:12">
      <c r="A26" t="s">
        <v>98</v>
      </c>
      <c r="B26" t="s">
        <v>99</v>
      </c>
      <c r="C26" s="1">
        <v>46083</v>
      </c>
      <c r="D26" t="s">
        <v>100</v>
      </c>
      <c r="E26" t="s">
        <v>28</v>
      </c>
      <c r="F26" t="s">
        <v>16</v>
      </c>
      <c r="G26" t="s">
        <v>17</v>
      </c>
      <c r="H26">
        <v>2</v>
      </c>
      <c r="I26">
        <v>4200</v>
      </c>
      <c r="J26">
        <v>0.05</v>
      </c>
      <c r="K26">
        <v>7980</v>
      </c>
      <c r="L26" t="s">
        <v>24</v>
      </c>
    </row>
    <row r="27" spans="1:12">
      <c r="A27" t="s">
        <v>101</v>
      </c>
      <c r="B27" t="s">
        <v>102</v>
      </c>
      <c r="C27" s="1">
        <v>46065</v>
      </c>
      <c r="D27" t="s">
        <v>103</v>
      </c>
      <c r="E27" t="s">
        <v>47</v>
      </c>
      <c r="F27" t="s">
        <v>16</v>
      </c>
      <c r="G27" t="s">
        <v>17</v>
      </c>
      <c r="H27">
        <v>2</v>
      </c>
      <c r="I27">
        <v>3800</v>
      </c>
      <c r="J27">
        <v>0.05</v>
      </c>
      <c r="K27">
        <v>7220</v>
      </c>
      <c r="L27" t="s">
        <v>97</v>
      </c>
    </row>
    <row r="28" spans="1:12">
      <c r="A28" t="s">
        <v>104</v>
      </c>
      <c r="B28" t="s">
        <v>105</v>
      </c>
      <c r="C28" s="1">
        <v>46106</v>
      </c>
      <c r="D28" t="s">
        <v>60</v>
      </c>
      <c r="E28" t="s">
        <v>28</v>
      </c>
      <c r="F28" t="s">
        <v>16</v>
      </c>
      <c r="G28" t="s">
        <v>29</v>
      </c>
      <c r="H28">
        <v>1</v>
      </c>
      <c r="I28">
        <v>12800</v>
      </c>
      <c r="J28">
        <v>0.15</v>
      </c>
      <c r="K28">
        <v>10880</v>
      </c>
      <c r="L28" t="s">
        <v>38</v>
      </c>
    </row>
    <row r="29" spans="1:12">
      <c r="A29" t="s">
        <v>106</v>
      </c>
      <c r="B29" t="s">
        <v>107</v>
      </c>
      <c r="C29" s="1">
        <v>46272</v>
      </c>
      <c r="D29" t="s">
        <v>27</v>
      </c>
      <c r="E29" t="s">
        <v>28</v>
      </c>
      <c r="F29" t="s">
        <v>16</v>
      </c>
      <c r="G29" t="s">
        <v>29</v>
      </c>
      <c r="H29">
        <v>1</v>
      </c>
      <c r="I29">
        <v>3500</v>
      </c>
      <c r="J29">
        <v>0</v>
      </c>
      <c r="K29">
        <v>3500</v>
      </c>
      <c r="L29" t="s">
        <v>97</v>
      </c>
    </row>
    <row r="30" spans="1:12">
      <c r="A30" t="s">
        <v>108</v>
      </c>
      <c r="B30" t="s">
        <v>109</v>
      </c>
      <c r="C30" s="1">
        <v>46211</v>
      </c>
      <c r="D30" t="s">
        <v>14</v>
      </c>
      <c r="E30" t="s">
        <v>15</v>
      </c>
      <c r="F30" t="s">
        <v>34</v>
      </c>
      <c r="G30" t="s">
        <v>29</v>
      </c>
      <c r="H30">
        <v>3</v>
      </c>
      <c r="I30">
        <v>7600</v>
      </c>
      <c r="J30">
        <v>0</v>
      </c>
      <c r="K30">
        <v>22800</v>
      </c>
      <c r="L30" t="s">
        <v>64</v>
      </c>
    </row>
    <row r="31" spans="1:12">
      <c r="A31" t="s">
        <v>110</v>
      </c>
      <c r="B31" t="s">
        <v>111</v>
      </c>
      <c r="C31" s="1">
        <v>46205</v>
      </c>
      <c r="D31" t="s">
        <v>112</v>
      </c>
      <c r="E31" t="s">
        <v>15</v>
      </c>
      <c r="F31" t="s">
        <v>16</v>
      </c>
      <c r="G31" t="s">
        <v>23</v>
      </c>
      <c r="H31">
        <v>1</v>
      </c>
      <c r="I31">
        <v>3200</v>
      </c>
      <c r="J31">
        <v>0.15</v>
      </c>
      <c r="K31">
        <v>2720</v>
      </c>
      <c r="L31" t="s">
        <v>113</v>
      </c>
    </row>
    <row r="32" spans="1:12">
      <c r="A32" t="s">
        <v>114</v>
      </c>
      <c r="B32" t="s">
        <v>59</v>
      </c>
      <c r="C32" s="1">
        <v>46048</v>
      </c>
      <c r="D32" t="s">
        <v>115</v>
      </c>
      <c r="E32" t="s">
        <v>54</v>
      </c>
      <c r="F32" t="s">
        <v>16</v>
      </c>
      <c r="G32" t="s">
        <v>29</v>
      </c>
      <c r="H32">
        <v>1</v>
      </c>
      <c r="I32">
        <v>6800</v>
      </c>
      <c r="J32">
        <v>0.05</v>
      </c>
      <c r="K32">
        <v>6460</v>
      </c>
      <c r="L32" t="s">
        <v>85</v>
      </c>
    </row>
    <row r="33" spans="1:12">
      <c r="A33" t="s">
        <v>116</v>
      </c>
      <c r="B33" t="s">
        <v>117</v>
      </c>
      <c r="C33" s="1">
        <v>46118</v>
      </c>
      <c r="D33" t="s">
        <v>118</v>
      </c>
      <c r="E33" t="s">
        <v>47</v>
      </c>
      <c r="F33" t="s">
        <v>16</v>
      </c>
      <c r="G33" t="s">
        <v>17</v>
      </c>
      <c r="H33">
        <v>2</v>
      </c>
      <c r="I33">
        <v>4100</v>
      </c>
      <c r="J33">
        <v>0</v>
      </c>
      <c r="K33">
        <v>8200</v>
      </c>
      <c r="L33" t="s">
        <v>68</v>
      </c>
    </row>
    <row r="34" spans="1:12">
      <c r="A34" t="s">
        <v>119</v>
      </c>
      <c r="B34" t="s">
        <v>120</v>
      </c>
      <c r="C34" s="1">
        <v>46188</v>
      </c>
      <c r="D34" t="s">
        <v>33</v>
      </c>
      <c r="E34" t="s">
        <v>28</v>
      </c>
      <c r="F34" t="s">
        <v>16</v>
      </c>
      <c r="G34" t="s">
        <v>17</v>
      </c>
      <c r="H34">
        <v>4</v>
      </c>
      <c r="I34">
        <v>8500</v>
      </c>
      <c r="J34">
        <v>0.1</v>
      </c>
      <c r="K34">
        <v>30600</v>
      </c>
      <c r="L34" t="s">
        <v>30</v>
      </c>
    </row>
    <row r="35" spans="1:12">
      <c r="A35" t="s">
        <v>121</v>
      </c>
      <c r="B35" t="s">
        <v>122</v>
      </c>
      <c r="C35" s="1">
        <v>46144</v>
      </c>
      <c r="D35" t="s">
        <v>91</v>
      </c>
      <c r="E35" t="s">
        <v>22</v>
      </c>
      <c r="F35" t="s">
        <v>16</v>
      </c>
      <c r="G35" t="s">
        <v>23</v>
      </c>
      <c r="H35">
        <v>3</v>
      </c>
      <c r="I35">
        <v>11500</v>
      </c>
      <c r="J35">
        <v>0.1</v>
      </c>
      <c r="K35">
        <v>31050</v>
      </c>
      <c r="L35" t="s">
        <v>123</v>
      </c>
    </row>
    <row r="36" spans="1:12">
      <c r="A36" t="s">
        <v>124</v>
      </c>
      <c r="B36" t="s">
        <v>125</v>
      </c>
      <c r="C36" s="1">
        <v>46219</v>
      </c>
      <c r="D36" t="s">
        <v>91</v>
      </c>
      <c r="E36" t="s">
        <v>22</v>
      </c>
      <c r="F36" t="s">
        <v>16</v>
      </c>
      <c r="G36" t="s">
        <v>29</v>
      </c>
      <c r="H36">
        <v>1</v>
      </c>
      <c r="I36">
        <v>11500</v>
      </c>
      <c r="J36">
        <v>0.05</v>
      </c>
      <c r="K36">
        <v>10925</v>
      </c>
      <c r="L36" t="s">
        <v>85</v>
      </c>
    </row>
    <row r="37" spans="1:12">
      <c r="A37" t="s">
        <v>126</v>
      </c>
      <c r="B37" t="s">
        <v>127</v>
      </c>
      <c r="C37" s="1">
        <v>46139</v>
      </c>
      <c r="D37" t="s">
        <v>53</v>
      </c>
      <c r="E37" t="s">
        <v>54</v>
      </c>
      <c r="F37" t="s">
        <v>34</v>
      </c>
      <c r="G37" t="s">
        <v>17</v>
      </c>
      <c r="H37">
        <v>1</v>
      </c>
      <c r="I37">
        <v>4500</v>
      </c>
      <c r="J37">
        <v>0</v>
      </c>
      <c r="K37">
        <v>4500</v>
      </c>
      <c r="L37" t="s">
        <v>35</v>
      </c>
    </row>
    <row r="38" spans="1:12">
      <c r="A38" t="s">
        <v>128</v>
      </c>
      <c r="B38" t="s">
        <v>129</v>
      </c>
      <c r="C38" s="1">
        <v>46196</v>
      </c>
      <c r="D38" t="s">
        <v>130</v>
      </c>
      <c r="E38" t="s">
        <v>22</v>
      </c>
      <c r="F38" t="s">
        <v>16</v>
      </c>
      <c r="G38" t="s">
        <v>29</v>
      </c>
      <c r="H38">
        <v>2</v>
      </c>
      <c r="I38">
        <v>5900</v>
      </c>
      <c r="J38">
        <v>0.1</v>
      </c>
      <c r="K38">
        <v>10620</v>
      </c>
      <c r="L38" t="s">
        <v>68</v>
      </c>
    </row>
    <row r="39" spans="1:12">
      <c r="A39" t="s">
        <v>131</v>
      </c>
      <c r="B39" t="s">
        <v>132</v>
      </c>
      <c r="C39" s="1">
        <v>46157</v>
      </c>
      <c r="D39" t="s">
        <v>71</v>
      </c>
      <c r="E39" t="s">
        <v>47</v>
      </c>
      <c r="F39" t="s">
        <v>16</v>
      </c>
      <c r="G39" t="s">
        <v>17</v>
      </c>
      <c r="H39">
        <v>2</v>
      </c>
      <c r="I39">
        <v>5600</v>
      </c>
      <c r="J39">
        <v>0.15</v>
      </c>
      <c r="K39">
        <v>9520</v>
      </c>
      <c r="L39" t="s">
        <v>24</v>
      </c>
    </row>
    <row r="40" spans="1:12">
      <c r="A40" t="s">
        <v>133</v>
      </c>
      <c r="B40" t="s">
        <v>134</v>
      </c>
      <c r="C40" s="1">
        <v>46287</v>
      </c>
      <c r="D40" t="s">
        <v>103</v>
      </c>
      <c r="E40" t="s">
        <v>47</v>
      </c>
      <c r="F40" t="s">
        <v>34</v>
      </c>
      <c r="G40" t="s">
        <v>23</v>
      </c>
      <c r="H40">
        <v>3</v>
      </c>
      <c r="I40">
        <v>3800</v>
      </c>
      <c r="J40">
        <v>0.05</v>
      </c>
      <c r="K40">
        <v>10830</v>
      </c>
      <c r="L40" t="s">
        <v>135</v>
      </c>
    </row>
    <row r="41" spans="1:12">
      <c r="A41" t="s">
        <v>136</v>
      </c>
      <c r="B41" t="s">
        <v>137</v>
      </c>
      <c r="C41" s="1">
        <v>46033</v>
      </c>
      <c r="D41" t="s">
        <v>41</v>
      </c>
      <c r="E41" t="s">
        <v>15</v>
      </c>
      <c r="F41" t="s">
        <v>16</v>
      </c>
      <c r="G41" t="s">
        <v>17</v>
      </c>
      <c r="H41">
        <v>1</v>
      </c>
      <c r="I41">
        <v>5400</v>
      </c>
      <c r="J41">
        <v>0.1</v>
      </c>
      <c r="K41">
        <v>4860</v>
      </c>
      <c r="L41" t="s">
        <v>97</v>
      </c>
    </row>
    <row r="42" spans="1:12">
      <c r="A42" t="s">
        <v>138</v>
      </c>
      <c r="B42" t="s">
        <v>139</v>
      </c>
      <c r="C42" s="1">
        <v>46240</v>
      </c>
      <c r="D42" t="s">
        <v>60</v>
      </c>
      <c r="E42" t="s">
        <v>28</v>
      </c>
      <c r="F42" t="s">
        <v>34</v>
      </c>
      <c r="G42" t="s">
        <v>29</v>
      </c>
      <c r="H42">
        <v>2</v>
      </c>
      <c r="I42">
        <v>12800</v>
      </c>
      <c r="J42">
        <v>0</v>
      </c>
      <c r="K42">
        <v>25600</v>
      </c>
      <c r="L42" t="s">
        <v>85</v>
      </c>
    </row>
    <row r="43" spans="1:12">
      <c r="A43" t="s">
        <v>140</v>
      </c>
      <c r="B43" t="s">
        <v>141</v>
      </c>
      <c r="C43" s="1">
        <v>46133</v>
      </c>
      <c r="D43" t="s">
        <v>14</v>
      </c>
      <c r="E43" t="s">
        <v>15</v>
      </c>
      <c r="F43" t="s">
        <v>16</v>
      </c>
      <c r="G43" t="s">
        <v>17</v>
      </c>
      <c r="H43">
        <v>2</v>
      </c>
      <c r="I43">
        <v>7600</v>
      </c>
      <c r="J43">
        <v>0.1</v>
      </c>
      <c r="K43">
        <v>13680</v>
      </c>
      <c r="L43" t="s">
        <v>142</v>
      </c>
    </row>
    <row r="44" spans="1:12">
      <c r="A44" t="s">
        <v>143</v>
      </c>
      <c r="B44" t="s">
        <v>144</v>
      </c>
      <c r="C44" s="1">
        <v>46147</v>
      </c>
      <c r="D44" t="s">
        <v>96</v>
      </c>
      <c r="E44" t="s">
        <v>22</v>
      </c>
      <c r="F44" t="s">
        <v>16</v>
      </c>
      <c r="G44" t="s">
        <v>29</v>
      </c>
      <c r="H44">
        <v>1</v>
      </c>
      <c r="I44">
        <v>3200</v>
      </c>
      <c r="J44">
        <v>0.15</v>
      </c>
      <c r="K44">
        <v>2720</v>
      </c>
      <c r="L44" t="s">
        <v>64</v>
      </c>
    </row>
    <row r="45" spans="1:12">
      <c r="A45" t="s">
        <v>145</v>
      </c>
      <c r="B45" t="s">
        <v>146</v>
      </c>
      <c r="C45" s="1">
        <v>46101</v>
      </c>
      <c r="D45" t="s">
        <v>50</v>
      </c>
      <c r="E45" t="s">
        <v>28</v>
      </c>
      <c r="F45" t="s">
        <v>34</v>
      </c>
      <c r="G45" t="s">
        <v>29</v>
      </c>
      <c r="H45">
        <v>2</v>
      </c>
      <c r="I45">
        <v>6200</v>
      </c>
      <c r="J45">
        <v>0.05</v>
      </c>
      <c r="K45">
        <v>11780</v>
      </c>
      <c r="L45" t="s">
        <v>24</v>
      </c>
    </row>
    <row r="46" spans="1:12">
      <c r="A46" t="s">
        <v>147</v>
      </c>
      <c r="B46" t="s">
        <v>148</v>
      </c>
      <c r="C46" s="1">
        <v>46230</v>
      </c>
      <c r="D46" t="s">
        <v>50</v>
      </c>
      <c r="E46" t="s">
        <v>28</v>
      </c>
      <c r="F46" t="s">
        <v>34</v>
      </c>
      <c r="G46" t="s">
        <v>17</v>
      </c>
      <c r="H46">
        <v>2</v>
      </c>
      <c r="I46">
        <v>6200</v>
      </c>
      <c r="J46">
        <v>0.1</v>
      </c>
      <c r="K46">
        <v>11160</v>
      </c>
      <c r="L46" t="s">
        <v>30</v>
      </c>
    </row>
    <row r="47" spans="1:12">
      <c r="A47" t="s">
        <v>149</v>
      </c>
      <c r="B47" t="s">
        <v>150</v>
      </c>
      <c r="C47" s="1">
        <v>46024</v>
      </c>
      <c r="D47" t="s">
        <v>71</v>
      </c>
      <c r="E47" t="s">
        <v>47</v>
      </c>
      <c r="F47" t="s">
        <v>34</v>
      </c>
      <c r="G47" t="s">
        <v>29</v>
      </c>
      <c r="H47">
        <v>1</v>
      </c>
      <c r="I47">
        <v>5600</v>
      </c>
      <c r="J47">
        <v>0.1</v>
      </c>
      <c r="K47">
        <v>5040</v>
      </c>
      <c r="L47" t="s">
        <v>72</v>
      </c>
    </row>
    <row r="48" spans="1:12">
      <c r="A48" t="s">
        <v>151</v>
      </c>
      <c r="B48" t="s">
        <v>152</v>
      </c>
      <c r="C48" s="1">
        <v>46075</v>
      </c>
      <c r="D48" t="s">
        <v>91</v>
      </c>
      <c r="E48" t="s">
        <v>22</v>
      </c>
      <c r="F48" t="s">
        <v>16</v>
      </c>
      <c r="G48" t="s">
        <v>17</v>
      </c>
      <c r="H48">
        <v>1</v>
      </c>
      <c r="I48">
        <v>11500</v>
      </c>
      <c r="J48">
        <v>0.1</v>
      </c>
      <c r="K48">
        <v>10350</v>
      </c>
      <c r="L48" t="s">
        <v>61</v>
      </c>
    </row>
    <row r="49" spans="1:12">
      <c r="A49" t="s">
        <v>153</v>
      </c>
      <c r="B49" t="s">
        <v>154</v>
      </c>
      <c r="C49" s="1">
        <v>46282</v>
      </c>
      <c r="D49" t="s">
        <v>71</v>
      </c>
      <c r="E49" t="s">
        <v>47</v>
      </c>
      <c r="F49" t="s">
        <v>16</v>
      </c>
      <c r="G49" t="s">
        <v>29</v>
      </c>
      <c r="H49">
        <v>3</v>
      </c>
      <c r="I49">
        <v>5600</v>
      </c>
      <c r="J49">
        <v>0.1</v>
      </c>
      <c r="K49">
        <v>15120</v>
      </c>
      <c r="L49" t="s">
        <v>72</v>
      </c>
    </row>
    <row r="50" spans="1:12">
      <c r="A50" t="s">
        <v>155</v>
      </c>
      <c r="B50" t="s">
        <v>156</v>
      </c>
      <c r="C50" s="1">
        <v>46106</v>
      </c>
      <c r="D50" t="s">
        <v>100</v>
      </c>
      <c r="E50" t="s">
        <v>28</v>
      </c>
      <c r="F50" t="s">
        <v>16</v>
      </c>
      <c r="G50" t="s">
        <v>17</v>
      </c>
      <c r="H50">
        <v>2</v>
      </c>
      <c r="I50">
        <v>4200</v>
      </c>
      <c r="J50">
        <v>0.15</v>
      </c>
      <c r="K50">
        <v>7140</v>
      </c>
      <c r="L50" t="s">
        <v>123</v>
      </c>
    </row>
    <row r="51" spans="1:12">
      <c r="A51" t="s">
        <v>157</v>
      </c>
      <c r="B51" t="s">
        <v>158</v>
      </c>
      <c r="C51" s="1">
        <v>46092</v>
      </c>
      <c r="D51" t="s">
        <v>67</v>
      </c>
      <c r="E51" t="s">
        <v>54</v>
      </c>
      <c r="F51" t="s">
        <v>16</v>
      </c>
      <c r="G51" t="s">
        <v>29</v>
      </c>
      <c r="H51">
        <v>1</v>
      </c>
      <c r="I51">
        <v>2800</v>
      </c>
      <c r="J51">
        <v>0.1</v>
      </c>
      <c r="K51">
        <v>2520</v>
      </c>
      <c r="L51" t="s">
        <v>24</v>
      </c>
    </row>
    <row r="52" spans="1:12">
      <c r="A52" t="s">
        <v>159</v>
      </c>
      <c r="B52" t="s">
        <v>160</v>
      </c>
      <c r="C52" s="1">
        <v>46268</v>
      </c>
      <c r="D52" t="s">
        <v>46</v>
      </c>
      <c r="E52" t="s">
        <v>47</v>
      </c>
      <c r="F52" t="s">
        <v>16</v>
      </c>
      <c r="G52" t="s">
        <v>29</v>
      </c>
      <c r="H52">
        <v>2</v>
      </c>
      <c r="I52">
        <v>9200</v>
      </c>
      <c r="J52">
        <v>0.1</v>
      </c>
      <c r="K52">
        <v>16560</v>
      </c>
      <c r="L52" t="s">
        <v>85</v>
      </c>
    </row>
    <row r="53" spans="1:12">
      <c r="A53" t="s">
        <v>161</v>
      </c>
      <c r="B53" t="s">
        <v>162</v>
      </c>
      <c r="C53" s="1">
        <v>46127</v>
      </c>
      <c r="D53" t="s">
        <v>67</v>
      </c>
      <c r="E53" t="s">
        <v>54</v>
      </c>
      <c r="F53" t="s">
        <v>16</v>
      </c>
      <c r="G53" t="s">
        <v>29</v>
      </c>
      <c r="H53">
        <v>1</v>
      </c>
      <c r="I53">
        <v>2800</v>
      </c>
      <c r="J53">
        <v>0.05</v>
      </c>
      <c r="K53">
        <v>2660</v>
      </c>
      <c r="L53" t="s">
        <v>123</v>
      </c>
    </row>
    <row r="54" spans="1:12">
      <c r="A54" t="s">
        <v>163</v>
      </c>
      <c r="B54" t="s">
        <v>164</v>
      </c>
      <c r="C54" s="1">
        <v>46279</v>
      </c>
      <c r="D54" t="s">
        <v>46</v>
      </c>
      <c r="E54" t="s">
        <v>47</v>
      </c>
      <c r="F54" t="s">
        <v>16</v>
      </c>
      <c r="G54" t="s">
        <v>17</v>
      </c>
      <c r="H54">
        <v>1</v>
      </c>
      <c r="I54">
        <v>9200</v>
      </c>
      <c r="J54">
        <v>0</v>
      </c>
      <c r="K54">
        <v>9200</v>
      </c>
      <c r="L54" t="s">
        <v>64</v>
      </c>
    </row>
    <row r="55" spans="1:12">
      <c r="A55" t="s">
        <v>165</v>
      </c>
      <c r="B55" t="s">
        <v>166</v>
      </c>
      <c r="C55" s="1">
        <v>46179</v>
      </c>
      <c r="D55" t="s">
        <v>115</v>
      </c>
      <c r="E55" t="s">
        <v>54</v>
      </c>
      <c r="F55" t="s">
        <v>34</v>
      </c>
      <c r="G55" t="s">
        <v>17</v>
      </c>
      <c r="H55">
        <v>1</v>
      </c>
      <c r="I55">
        <v>6800</v>
      </c>
      <c r="J55">
        <v>0.2</v>
      </c>
      <c r="K55">
        <v>5440</v>
      </c>
      <c r="L55" t="s">
        <v>135</v>
      </c>
    </row>
    <row r="56" spans="1:12">
      <c r="A56" t="s">
        <v>167</v>
      </c>
      <c r="B56" t="s">
        <v>168</v>
      </c>
      <c r="C56" s="1">
        <v>46147</v>
      </c>
      <c r="D56" t="s">
        <v>50</v>
      </c>
      <c r="E56" t="s">
        <v>28</v>
      </c>
      <c r="F56" t="s">
        <v>34</v>
      </c>
      <c r="G56" t="s">
        <v>29</v>
      </c>
      <c r="H56">
        <v>1</v>
      </c>
      <c r="I56">
        <v>6200</v>
      </c>
      <c r="J56">
        <v>0.15</v>
      </c>
      <c r="K56">
        <v>5270</v>
      </c>
      <c r="L56" t="s">
        <v>35</v>
      </c>
    </row>
    <row r="57" spans="1:12">
      <c r="A57" t="s">
        <v>169</v>
      </c>
      <c r="B57" t="s">
        <v>76</v>
      </c>
      <c r="C57" s="1">
        <v>46191</v>
      </c>
      <c r="D57" t="s">
        <v>27</v>
      </c>
      <c r="E57" t="s">
        <v>28</v>
      </c>
      <c r="F57" t="s">
        <v>34</v>
      </c>
      <c r="G57" t="s">
        <v>29</v>
      </c>
      <c r="H57">
        <v>3</v>
      </c>
      <c r="I57">
        <v>3500</v>
      </c>
      <c r="J57">
        <v>0.1</v>
      </c>
      <c r="K57">
        <v>9450</v>
      </c>
      <c r="L57" t="s">
        <v>35</v>
      </c>
    </row>
    <row r="58" spans="1:12">
      <c r="A58" t="s">
        <v>170</v>
      </c>
      <c r="B58" t="s">
        <v>171</v>
      </c>
      <c r="C58" s="1">
        <v>46168</v>
      </c>
      <c r="D58" t="s">
        <v>84</v>
      </c>
      <c r="E58" t="s">
        <v>22</v>
      </c>
      <c r="F58" t="s">
        <v>16</v>
      </c>
      <c r="G58" t="s">
        <v>23</v>
      </c>
      <c r="H58">
        <v>2</v>
      </c>
      <c r="I58">
        <v>8900</v>
      </c>
      <c r="J58">
        <v>0</v>
      </c>
      <c r="K58">
        <v>17800</v>
      </c>
      <c r="L58" t="s">
        <v>30</v>
      </c>
    </row>
    <row r="59" spans="1:12">
      <c r="A59" t="s">
        <v>172</v>
      </c>
      <c r="B59" t="s">
        <v>173</v>
      </c>
      <c r="C59" s="1">
        <v>46120</v>
      </c>
      <c r="D59" t="s">
        <v>60</v>
      </c>
      <c r="E59" t="s">
        <v>28</v>
      </c>
      <c r="F59" t="s">
        <v>16</v>
      </c>
      <c r="G59" t="s">
        <v>29</v>
      </c>
      <c r="H59">
        <v>1</v>
      </c>
      <c r="I59">
        <v>12800</v>
      </c>
      <c r="J59">
        <v>0.05</v>
      </c>
      <c r="K59">
        <v>12160</v>
      </c>
      <c r="L59" t="s">
        <v>24</v>
      </c>
    </row>
    <row r="60" spans="1:12">
      <c r="A60" t="s">
        <v>174</v>
      </c>
      <c r="B60" t="s">
        <v>129</v>
      </c>
      <c r="C60" s="1">
        <v>46271</v>
      </c>
      <c r="D60" t="s">
        <v>41</v>
      </c>
      <c r="E60" t="s">
        <v>15</v>
      </c>
      <c r="F60" t="s">
        <v>16</v>
      </c>
      <c r="G60" t="s">
        <v>23</v>
      </c>
      <c r="H60">
        <v>1</v>
      </c>
      <c r="I60">
        <v>5400</v>
      </c>
      <c r="J60">
        <v>0.05</v>
      </c>
      <c r="K60">
        <v>5130</v>
      </c>
      <c r="L60" t="s">
        <v>97</v>
      </c>
    </row>
    <row r="61" spans="1:12">
      <c r="A61" t="s">
        <v>175</v>
      </c>
      <c r="B61" t="s">
        <v>176</v>
      </c>
      <c r="C61" s="1">
        <v>46091</v>
      </c>
      <c r="D61" t="s">
        <v>130</v>
      </c>
      <c r="E61" t="s">
        <v>22</v>
      </c>
      <c r="F61" t="s">
        <v>16</v>
      </c>
      <c r="G61" t="s">
        <v>23</v>
      </c>
      <c r="H61">
        <v>1</v>
      </c>
      <c r="I61">
        <v>5900</v>
      </c>
      <c r="J61">
        <v>0.15</v>
      </c>
      <c r="K61">
        <v>5015</v>
      </c>
      <c r="L61" t="s">
        <v>113</v>
      </c>
    </row>
    <row r="62" spans="1:12">
      <c r="A62" t="s">
        <v>177</v>
      </c>
      <c r="B62" t="s">
        <v>178</v>
      </c>
      <c r="C62" s="1">
        <v>46237</v>
      </c>
      <c r="D62" t="s">
        <v>77</v>
      </c>
      <c r="E62" t="s">
        <v>54</v>
      </c>
      <c r="F62" t="s">
        <v>16</v>
      </c>
      <c r="G62" t="s">
        <v>29</v>
      </c>
      <c r="H62">
        <v>2</v>
      </c>
      <c r="I62">
        <v>7200</v>
      </c>
      <c r="J62">
        <v>0.05</v>
      </c>
      <c r="K62">
        <v>13680</v>
      </c>
      <c r="L62" t="s">
        <v>85</v>
      </c>
    </row>
    <row r="63" spans="1:12">
      <c r="A63" t="s">
        <v>179</v>
      </c>
      <c r="B63" t="s">
        <v>180</v>
      </c>
      <c r="C63" s="1">
        <v>46112</v>
      </c>
      <c r="D63" t="s">
        <v>27</v>
      </c>
      <c r="E63" t="s">
        <v>28</v>
      </c>
      <c r="F63" t="s">
        <v>34</v>
      </c>
      <c r="G63" t="s">
        <v>17</v>
      </c>
      <c r="H63">
        <v>1</v>
      </c>
      <c r="I63">
        <v>3500</v>
      </c>
      <c r="J63">
        <v>0.15</v>
      </c>
      <c r="K63">
        <v>2975</v>
      </c>
      <c r="L63" t="s">
        <v>64</v>
      </c>
    </row>
    <row r="64" spans="1:12">
      <c r="A64" t="s">
        <v>181</v>
      </c>
      <c r="B64" t="s">
        <v>182</v>
      </c>
      <c r="C64" s="1">
        <v>46050</v>
      </c>
      <c r="D64" t="s">
        <v>183</v>
      </c>
      <c r="E64" t="s">
        <v>15</v>
      </c>
      <c r="F64" t="s">
        <v>34</v>
      </c>
      <c r="G64" t="s">
        <v>17</v>
      </c>
      <c r="H64">
        <v>2</v>
      </c>
      <c r="I64">
        <v>9800</v>
      </c>
      <c r="J64">
        <v>0.15</v>
      </c>
      <c r="K64">
        <v>16660</v>
      </c>
      <c r="L64" t="s">
        <v>85</v>
      </c>
    </row>
    <row r="65" spans="1:12">
      <c r="A65" t="s">
        <v>184</v>
      </c>
      <c r="B65" t="s">
        <v>185</v>
      </c>
      <c r="C65" s="1">
        <v>46268</v>
      </c>
      <c r="D65" t="s">
        <v>130</v>
      </c>
      <c r="E65" t="s">
        <v>22</v>
      </c>
      <c r="F65" t="s">
        <v>16</v>
      </c>
      <c r="G65" t="s">
        <v>23</v>
      </c>
      <c r="H65">
        <v>1</v>
      </c>
      <c r="I65">
        <v>5900</v>
      </c>
      <c r="J65">
        <v>0.05</v>
      </c>
      <c r="K65">
        <v>5605</v>
      </c>
      <c r="L65" t="s">
        <v>35</v>
      </c>
    </row>
    <row r="66" spans="1:12">
      <c r="A66" t="s">
        <v>186</v>
      </c>
      <c r="B66" t="s">
        <v>154</v>
      </c>
      <c r="C66" s="1">
        <v>46025</v>
      </c>
      <c r="D66" t="s">
        <v>50</v>
      </c>
      <c r="E66" t="s">
        <v>28</v>
      </c>
      <c r="F66" t="s">
        <v>16</v>
      </c>
      <c r="G66" t="s">
        <v>29</v>
      </c>
      <c r="H66">
        <v>1</v>
      </c>
      <c r="I66">
        <v>6200</v>
      </c>
      <c r="J66">
        <v>0</v>
      </c>
      <c r="K66">
        <v>6200</v>
      </c>
      <c r="L66" t="s">
        <v>123</v>
      </c>
    </row>
    <row r="67" spans="1:12">
      <c r="A67" t="s">
        <v>187</v>
      </c>
      <c r="B67" t="s">
        <v>188</v>
      </c>
      <c r="C67" s="1">
        <v>46293</v>
      </c>
      <c r="D67" t="s">
        <v>91</v>
      </c>
      <c r="E67" t="s">
        <v>22</v>
      </c>
      <c r="F67" t="s">
        <v>16</v>
      </c>
      <c r="G67" t="s">
        <v>17</v>
      </c>
      <c r="H67">
        <v>3</v>
      </c>
      <c r="I67">
        <v>11500</v>
      </c>
      <c r="J67">
        <v>0.15</v>
      </c>
      <c r="K67">
        <v>29325</v>
      </c>
      <c r="L67" t="s">
        <v>135</v>
      </c>
    </row>
    <row r="68" spans="1:12">
      <c r="A68" t="s">
        <v>189</v>
      </c>
      <c r="B68" t="s">
        <v>190</v>
      </c>
      <c r="C68" s="1">
        <v>46259</v>
      </c>
      <c r="D68" t="s">
        <v>71</v>
      </c>
      <c r="E68" t="s">
        <v>47</v>
      </c>
      <c r="F68" t="s">
        <v>34</v>
      </c>
      <c r="G68" t="s">
        <v>29</v>
      </c>
      <c r="H68">
        <v>1</v>
      </c>
      <c r="I68">
        <v>5600</v>
      </c>
      <c r="J68">
        <v>0.1</v>
      </c>
      <c r="K68">
        <v>5040</v>
      </c>
      <c r="L68" t="s">
        <v>135</v>
      </c>
    </row>
    <row r="69" spans="1:12">
      <c r="A69" t="s">
        <v>191</v>
      </c>
      <c r="B69" t="s">
        <v>127</v>
      </c>
      <c r="C69" s="1">
        <v>46194</v>
      </c>
      <c r="D69" t="s">
        <v>50</v>
      </c>
      <c r="E69" t="s">
        <v>28</v>
      </c>
      <c r="F69" t="s">
        <v>34</v>
      </c>
      <c r="G69" t="s">
        <v>17</v>
      </c>
      <c r="H69">
        <v>2</v>
      </c>
      <c r="I69">
        <v>6200</v>
      </c>
      <c r="J69">
        <v>0.1</v>
      </c>
      <c r="K69">
        <v>11160</v>
      </c>
      <c r="L69" t="s">
        <v>142</v>
      </c>
    </row>
    <row r="70" spans="1:12">
      <c r="A70" t="s">
        <v>192</v>
      </c>
      <c r="B70" t="s">
        <v>193</v>
      </c>
      <c r="C70" s="1">
        <v>46214</v>
      </c>
      <c r="D70" t="s">
        <v>84</v>
      </c>
      <c r="E70" t="s">
        <v>22</v>
      </c>
      <c r="F70" t="s">
        <v>16</v>
      </c>
      <c r="G70" t="s">
        <v>29</v>
      </c>
      <c r="H70">
        <v>2</v>
      </c>
      <c r="I70">
        <v>8900</v>
      </c>
      <c r="J70">
        <v>0.1</v>
      </c>
      <c r="K70">
        <v>16020</v>
      </c>
      <c r="L70" t="s">
        <v>68</v>
      </c>
    </row>
    <row r="71" spans="1:12">
      <c r="A71" t="s">
        <v>194</v>
      </c>
      <c r="B71" t="s">
        <v>195</v>
      </c>
      <c r="C71" s="1">
        <v>46257</v>
      </c>
      <c r="D71" t="s">
        <v>53</v>
      </c>
      <c r="E71" t="s">
        <v>54</v>
      </c>
      <c r="F71" t="s">
        <v>16</v>
      </c>
      <c r="G71" t="s">
        <v>23</v>
      </c>
      <c r="H71">
        <v>1</v>
      </c>
      <c r="I71">
        <v>4500</v>
      </c>
      <c r="J71">
        <v>0</v>
      </c>
      <c r="K71">
        <v>4500</v>
      </c>
      <c r="L71" t="s">
        <v>61</v>
      </c>
    </row>
    <row r="72" spans="1:12">
      <c r="A72" t="s">
        <v>196</v>
      </c>
      <c r="B72" t="s">
        <v>197</v>
      </c>
      <c r="C72" s="1">
        <v>46178</v>
      </c>
      <c r="D72" t="s">
        <v>91</v>
      </c>
      <c r="E72" t="s">
        <v>22</v>
      </c>
      <c r="F72" t="s">
        <v>34</v>
      </c>
      <c r="G72" t="s">
        <v>23</v>
      </c>
      <c r="H72">
        <v>1</v>
      </c>
      <c r="I72">
        <v>11500</v>
      </c>
      <c r="J72">
        <v>0.1</v>
      </c>
      <c r="K72">
        <v>10350</v>
      </c>
      <c r="L72" t="s">
        <v>24</v>
      </c>
    </row>
    <row r="73" spans="1:12">
      <c r="A73" t="s">
        <v>198</v>
      </c>
      <c r="B73" t="s">
        <v>199</v>
      </c>
      <c r="C73" s="1">
        <v>46224</v>
      </c>
      <c r="D73" t="s">
        <v>88</v>
      </c>
      <c r="E73" t="s">
        <v>15</v>
      </c>
      <c r="F73" t="s">
        <v>34</v>
      </c>
      <c r="G73" t="s">
        <v>17</v>
      </c>
      <c r="H73">
        <v>1</v>
      </c>
      <c r="I73">
        <v>4800</v>
      </c>
      <c r="J73">
        <v>0.05</v>
      </c>
      <c r="K73">
        <v>4560</v>
      </c>
      <c r="L73" t="s">
        <v>24</v>
      </c>
    </row>
    <row r="74" spans="1:12">
      <c r="A74" t="s">
        <v>200</v>
      </c>
      <c r="B74" t="s">
        <v>201</v>
      </c>
      <c r="C74" s="1">
        <v>46147</v>
      </c>
      <c r="D74" t="s">
        <v>96</v>
      </c>
      <c r="E74" t="s">
        <v>22</v>
      </c>
      <c r="F74" t="s">
        <v>34</v>
      </c>
      <c r="G74" t="s">
        <v>17</v>
      </c>
      <c r="H74">
        <v>1</v>
      </c>
      <c r="I74">
        <v>3200</v>
      </c>
      <c r="J74">
        <v>0.15</v>
      </c>
      <c r="K74">
        <v>2720</v>
      </c>
      <c r="L74" t="s">
        <v>61</v>
      </c>
    </row>
    <row r="75" spans="1:12">
      <c r="A75" t="s">
        <v>202</v>
      </c>
      <c r="B75" t="s">
        <v>203</v>
      </c>
      <c r="C75" s="1">
        <v>46242</v>
      </c>
      <c r="D75" t="s">
        <v>27</v>
      </c>
      <c r="E75" t="s">
        <v>28</v>
      </c>
      <c r="F75" t="s">
        <v>16</v>
      </c>
      <c r="G75" t="s">
        <v>29</v>
      </c>
      <c r="H75">
        <v>1</v>
      </c>
      <c r="I75">
        <v>3500</v>
      </c>
      <c r="J75">
        <v>0.1</v>
      </c>
      <c r="K75">
        <v>3150</v>
      </c>
      <c r="L75" t="s">
        <v>64</v>
      </c>
    </row>
    <row r="76" spans="1:12">
      <c r="A76" t="s">
        <v>204</v>
      </c>
      <c r="B76" t="s">
        <v>205</v>
      </c>
      <c r="C76" s="1">
        <v>46054</v>
      </c>
      <c r="D76" t="s">
        <v>21</v>
      </c>
      <c r="E76" t="s">
        <v>22</v>
      </c>
      <c r="F76" t="s">
        <v>34</v>
      </c>
      <c r="G76" t="s">
        <v>29</v>
      </c>
      <c r="H76">
        <v>2</v>
      </c>
      <c r="I76">
        <v>7600</v>
      </c>
      <c r="J76">
        <v>0.2</v>
      </c>
      <c r="K76">
        <v>12160</v>
      </c>
      <c r="L76" t="s">
        <v>68</v>
      </c>
    </row>
    <row r="77" spans="1:12">
      <c r="A77" t="s">
        <v>206</v>
      </c>
      <c r="B77" t="s">
        <v>207</v>
      </c>
      <c r="C77" s="1">
        <v>46277</v>
      </c>
      <c r="D77" t="s">
        <v>100</v>
      </c>
      <c r="E77" t="s">
        <v>28</v>
      </c>
      <c r="F77" t="s">
        <v>16</v>
      </c>
      <c r="G77" t="s">
        <v>29</v>
      </c>
      <c r="H77">
        <v>1</v>
      </c>
      <c r="I77">
        <v>4200</v>
      </c>
      <c r="J77">
        <v>0.15</v>
      </c>
      <c r="K77">
        <v>3570</v>
      </c>
      <c r="L77" t="s">
        <v>97</v>
      </c>
    </row>
    <row r="78" spans="1:12">
      <c r="A78" t="s">
        <v>208</v>
      </c>
      <c r="B78" t="s">
        <v>209</v>
      </c>
      <c r="C78" s="1">
        <v>46213</v>
      </c>
      <c r="D78" t="s">
        <v>57</v>
      </c>
      <c r="E78" t="s">
        <v>54</v>
      </c>
      <c r="F78" t="s">
        <v>34</v>
      </c>
      <c r="G78" t="s">
        <v>23</v>
      </c>
      <c r="H78">
        <v>1</v>
      </c>
      <c r="I78">
        <v>2400</v>
      </c>
      <c r="J78">
        <v>0.15</v>
      </c>
      <c r="K78">
        <v>2040</v>
      </c>
      <c r="L78" t="s">
        <v>38</v>
      </c>
    </row>
    <row r="79" spans="1:12">
      <c r="A79" t="s">
        <v>210</v>
      </c>
      <c r="B79" t="s">
        <v>211</v>
      </c>
      <c r="C79" s="1">
        <v>46181</v>
      </c>
      <c r="D79" t="s">
        <v>46</v>
      </c>
      <c r="E79" t="s">
        <v>47</v>
      </c>
      <c r="F79" t="s">
        <v>34</v>
      </c>
      <c r="G79" t="s">
        <v>29</v>
      </c>
      <c r="H79">
        <v>2</v>
      </c>
      <c r="I79">
        <v>9200</v>
      </c>
      <c r="J79">
        <v>0.1</v>
      </c>
      <c r="K79">
        <v>16560</v>
      </c>
      <c r="L79" t="s">
        <v>24</v>
      </c>
    </row>
    <row r="80" spans="1:12">
      <c r="A80" t="s">
        <v>212</v>
      </c>
      <c r="B80" t="s">
        <v>213</v>
      </c>
      <c r="C80" s="1">
        <v>46051</v>
      </c>
      <c r="D80" t="s">
        <v>21</v>
      </c>
      <c r="E80" t="s">
        <v>22</v>
      </c>
      <c r="F80" t="s">
        <v>16</v>
      </c>
      <c r="G80" t="s">
        <v>29</v>
      </c>
      <c r="H80">
        <v>3</v>
      </c>
      <c r="I80">
        <v>7600</v>
      </c>
      <c r="J80">
        <v>0.05</v>
      </c>
      <c r="K80">
        <v>21660</v>
      </c>
      <c r="L80" t="s">
        <v>85</v>
      </c>
    </row>
    <row r="81" spans="1:12">
      <c r="A81" t="s">
        <v>214</v>
      </c>
      <c r="B81" t="s">
        <v>215</v>
      </c>
      <c r="C81" s="1">
        <v>46201</v>
      </c>
      <c r="D81" t="s">
        <v>71</v>
      </c>
      <c r="E81" t="s">
        <v>47</v>
      </c>
      <c r="F81" t="s">
        <v>16</v>
      </c>
      <c r="G81" t="s">
        <v>17</v>
      </c>
      <c r="H81">
        <v>3</v>
      </c>
      <c r="I81">
        <v>5600</v>
      </c>
      <c r="J81">
        <v>0.05</v>
      </c>
      <c r="K81">
        <v>15960</v>
      </c>
      <c r="L81" t="s">
        <v>113</v>
      </c>
    </row>
    <row r="82" spans="1:12">
      <c r="A82" t="s">
        <v>216</v>
      </c>
      <c r="B82" t="s">
        <v>180</v>
      </c>
      <c r="C82" s="1">
        <v>46271</v>
      </c>
      <c r="D82" t="s">
        <v>84</v>
      </c>
      <c r="E82" t="s">
        <v>22</v>
      </c>
      <c r="F82" t="s">
        <v>34</v>
      </c>
      <c r="G82" t="s">
        <v>29</v>
      </c>
      <c r="H82">
        <v>1</v>
      </c>
      <c r="I82">
        <v>8900</v>
      </c>
      <c r="J82">
        <v>0.05</v>
      </c>
      <c r="K82">
        <v>8455</v>
      </c>
      <c r="L82" t="s">
        <v>123</v>
      </c>
    </row>
    <row r="83" spans="1:12">
      <c r="A83" t="s">
        <v>217</v>
      </c>
      <c r="B83" t="s">
        <v>218</v>
      </c>
      <c r="C83" s="1">
        <v>46102</v>
      </c>
      <c r="D83" t="s">
        <v>14</v>
      </c>
      <c r="E83" t="s">
        <v>15</v>
      </c>
      <c r="F83" t="s">
        <v>34</v>
      </c>
      <c r="G83" t="s">
        <v>17</v>
      </c>
      <c r="H83">
        <v>1</v>
      </c>
      <c r="I83">
        <v>7600</v>
      </c>
      <c r="J83">
        <v>0.1</v>
      </c>
      <c r="K83">
        <v>6840</v>
      </c>
      <c r="L83" t="s">
        <v>24</v>
      </c>
    </row>
    <row r="84" spans="1:12">
      <c r="A84" t="s">
        <v>219</v>
      </c>
      <c r="B84" t="s">
        <v>220</v>
      </c>
      <c r="C84" s="1">
        <v>46209</v>
      </c>
      <c r="D84" t="s">
        <v>33</v>
      </c>
      <c r="E84" t="s">
        <v>28</v>
      </c>
      <c r="F84" t="s">
        <v>34</v>
      </c>
      <c r="G84" t="s">
        <v>17</v>
      </c>
      <c r="H84">
        <v>1</v>
      </c>
      <c r="I84">
        <v>8500</v>
      </c>
      <c r="J84">
        <v>0</v>
      </c>
      <c r="K84">
        <v>8500</v>
      </c>
      <c r="L84" t="s">
        <v>135</v>
      </c>
    </row>
    <row r="85" spans="1:12">
      <c r="A85" t="s">
        <v>221</v>
      </c>
      <c r="B85" t="s">
        <v>222</v>
      </c>
      <c r="C85" s="1">
        <v>46285</v>
      </c>
      <c r="D85" t="s">
        <v>112</v>
      </c>
      <c r="E85" t="s">
        <v>15</v>
      </c>
      <c r="F85" t="s">
        <v>34</v>
      </c>
      <c r="G85" t="s">
        <v>23</v>
      </c>
      <c r="H85">
        <v>1</v>
      </c>
      <c r="I85">
        <v>3200</v>
      </c>
      <c r="J85">
        <v>0.05</v>
      </c>
      <c r="K85">
        <v>3040</v>
      </c>
      <c r="L85" t="s">
        <v>64</v>
      </c>
    </row>
    <row r="86" spans="1:12">
      <c r="A86" t="s">
        <v>223</v>
      </c>
      <c r="B86" t="s">
        <v>224</v>
      </c>
      <c r="C86" s="1">
        <v>46041</v>
      </c>
      <c r="D86" t="s">
        <v>46</v>
      </c>
      <c r="E86" t="s">
        <v>47</v>
      </c>
      <c r="F86" t="s">
        <v>16</v>
      </c>
      <c r="G86" t="s">
        <v>17</v>
      </c>
      <c r="H86">
        <v>2</v>
      </c>
      <c r="I86">
        <v>9200</v>
      </c>
      <c r="J86">
        <v>0.1</v>
      </c>
      <c r="K86">
        <v>16560</v>
      </c>
      <c r="L86" t="s">
        <v>68</v>
      </c>
    </row>
    <row r="87" spans="1:12">
      <c r="A87" t="s">
        <v>225</v>
      </c>
      <c r="B87" t="s">
        <v>226</v>
      </c>
      <c r="C87" s="1">
        <v>46198</v>
      </c>
      <c r="D87" t="s">
        <v>67</v>
      </c>
      <c r="E87" t="s">
        <v>54</v>
      </c>
      <c r="F87" t="s">
        <v>16</v>
      </c>
      <c r="G87" t="s">
        <v>29</v>
      </c>
      <c r="H87">
        <v>1</v>
      </c>
      <c r="I87">
        <v>2800</v>
      </c>
      <c r="J87">
        <v>0</v>
      </c>
      <c r="K87">
        <v>2800</v>
      </c>
      <c r="L87" t="s">
        <v>18</v>
      </c>
    </row>
    <row r="88" spans="1:12">
      <c r="A88" t="s">
        <v>227</v>
      </c>
      <c r="B88" t="s">
        <v>228</v>
      </c>
      <c r="C88" s="1">
        <v>46042</v>
      </c>
      <c r="D88" t="s">
        <v>118</v>
      </c>
      <c r="E88" t="s">
        <v>47</v>
      </c>
      <c r="F88" t="s">
        <v>34</v>
      </c>
      <c r="G88" t="s">
        <v>17</v>
      </c>
      <c r="H88">
        <v>1</v>
      </c>
      <c r="I88">
        <v>4100</v>
      </c>
      <c r="J88">
        <v>0.1</v>
      </c>
      <c r="K88">
        <v>3690</v>
      </c>
      <c r="L88" t="s">
        <v>135</v>
      </c>
    </row>
    <row r="89" spans="1:12">
      <c r="A89" t="s">
        <v>229</v>
      </c>
      <c r="B89" t="s">
        <v>230</v>
      </c>
      <c r="C89" s="1">
        <v>46151</v>
      </c>
      <c r="D89" t="s">
        <v>84</v>
      </c>
      <c r="E89" t="s">
        <v>22</v>
      </c>
      <c r="F89" t="s">
        <v>16</v>
      </c>
      <c r="G89" t="s">
        <v>17</v>
      </c>
      <c r="H89">
        <v>1</v>
      </c>
      <c r="I89">
        <v>8900</v>
      </c>
      <c r="J89">
        <v>0.1</v>
      </c>
      <c r="K89">
        <v>8010</v>
      </c>
      <c r="L89" t="s">
        <v>61</v>
      </c>
    </row>
    <row r="90" spans="1:12">
      <c r="A90" t="s">
        <v>231</v>
      </c>
      <c r="B90" t="s">
        <v>232</v>
      </c>
      <c r="C90" s="1">
        <v>46255</v>
      </c>
      <c r="D90" t="s">
        <v>112</v>
      </c>
      <c r="E90" t="s">
        <v>15</v>
      </c>
      <c r="F90" t="s">
        <v>16</v>
      </c>
      <c r="G90" t="s">
        <v>29</v>
      </c>
      <c r="H90">
        <v>1</v>
      </c>
      <c r="I90">
        <v>3200</v>
      </c>
      <c r="J90">
        <v>0.1</v>
      </c>
      <c r="K90">
        <v>2880</v>
      </c>
      <c r="L90" t="s">
        <v>135</v>
      </c>
    </row>
    <row r="91" spans="1:12">
      <c r="A91" t="s">
        <v>233</v>
      </c>
      <c r="B91" t="s">
        <v>150</v>
      </c>
      <c r="C91" s="1">
        <v>46270</v>
      </c>
      <c r="D91" t="s">
        <v>100</v>
      </c>
      <c r="E91" t="s">
        <v>28</v>
      </c>
      <c r="F91" t="s">
        <v>34</v>
      </c>
      <c r="G91" t="s">
        <v>23</v>
      </c>
      <c r="H91">
        <v>1</v>
      </c>
      <c r="I91">
        <v>4200</v>
      </c>
      <c r="J91">
        <v>0.1</v>
      </c>
      <c r="K91">
        <v>3780</v>
      </c>
      <c r="L91" t="s">
        <v>64</v>
      </c>
    </row>
    <row r="92" spans="1:12">
      <c r="A92" t="s">
        <v>234</v>
      </c>
      <c r="B92" t="s">
        <v>235</v>
      </c>
      <c r="C92" s="1">
        <v>46213</v>
      </c>
      <c r="D92" t="s">
        <v>14</v>
      </c>
      <c r="E92" t="s">
        <v>15</v>
      </c>
      <c r="F92" t="s">
        <v>34</v>
      </c>
      <c r="G92" t="s">
        <v>23</v>
      </c>
      <c r="H92">
        <v>1</v>
      </c>
      <c r="I92">
        <v>7600</v>
      </c>
      <c r="J92">
        <v>0.05</v>
      </c>
      <c r="K92">
        <v>7220</v>
      </c>
      <c r="L92" t="s">
        <v>24</v>
      </c>
    </row>
    <row r="93" spans="1:12">
      <c r="A93" t="s">
        <v>236</v>
      </c>
      <c r="B93" t="s">
        <v>105</v>
      </c>
      <c r="C93" s="1">
        <v>46169</v>
      </c>
      <c r="D93" t="s">
        <v>100</v>
      </c>
      <c r="E93" t="s">
        <v>28</v>
      </c>
      <c r="F93" t="s">
        <v>16</v>
      </c>
      <c r="G93" t="s">
        <v>17</v>
      </c>
      <c r="H93">
        <v>1</v>
      </c>
      <c r="I93">
        <v>4200</v>
      </c>
      <c r="J93">
        <v>0.1</v>
      </c>
      <c r="K93">
        <v>3780</v>
      </c>
      <c r="L93" t="s">
        <v>97</v>
      </c>
    </row>
    <row r="94" spans="1:12">
      <c r="A94" t="s">
        <v>237</v>
      </c>
      <c r="B94" t="s">
        <v>238</v>
      </c>
      <c r="C94" s="1">
        <v>46241</v>
      </c>
      <c r="D94" t="s">
        <v>71</v>
      </c>
      <c r="E94" t="s">
        <v>47</v>
      </c>
      <c r="F94" t="s">
        <v>16</v>
      </c>
      <c r="G94" t="s">
        <v>29</v>
      </c>
      <c r="H94">
        <v>1</v>
      </c>
      <c r="I94">
        <v>5600</v>
      </c>
      <c r="J94">
        <v>0.05</v>
      </c>
      <c r="K94">
        <v>5320</v>
      </c>
      <c r="L94" t="s">
        <v>135</v>
      </c>
    </row>
    <row r="95" spans="1:12">
      <c r="A95" t="s">
        <v>239</v>
      </c>
      <c r="B95" t="s">
        <v>232</v>
      </c>
      <c r="C95" s="1">
        <v>46265</v>
      </c>
      <c r="D95" t="s">
        <v>91</v>
      </c>
      <c r="E95" t="s">
        <v>22</v>
      </c>
      <c r="F95" t="s">
        <v>16</v>
      </c>
      <c r="G95" t="s">
        <v>17</v>
      </c>
      <c r="H95">
        <v>3</v>
      </c>
      <c r="I95">
        <v>11500</v>
      </c>
      <c r="J95">
        <v>0</v>
      </c>
      <c r="K95">
        <v>34500</v>
      </c>
      <c r="L95" t="s">
        <v>85</v>
      </c>
    </row>
    <row r="96" spans="1:12">
      <c r="A96" t="s">
        <v>240</v>
      </c>
      <c r="B96" t="s">
        <v>241</v>
      </c>
      <c r="C96" s="1">
        <v>46268</v>
      </c>
      <c r="D96" t="s">
        <v>33</v>
      </c>
      <c r="E96" t="s">
        <v>28</v>
      </c>
      <c r="F96" t="s">
        <v>16</v>
      </c>
      <c r="G96" t="s">
        <v>29</v>
      </c>
      <c r="H96">
        <v>1</v>
      </c>
      <c r="I96">
        <v>8500</v>
      </c>
      <c r="J96">
        <v>0.15</v>
      </c>
      <c r="K96">
        <v>7225</v>
      </c>
      <c r="L96" t="s">
        <v>24</v>
      </c>
    </row>
    <row r="97" spans="1:12">
      <c r="A97" t="s">
        <v>242</v>
      </c>
      <c r="B97" t="s">
        <v>243</v>
      </c>
      <c r="C97" s="1">
        <v>46121</v>
      </c>
      <c r="D97" t="s">
        <v>67</v>
      </c>
      <c r="E97" t="s">
        <v>54</v>
      </c>
      <c r="F97" t="s">
        <v>16</v>
      </c>
      <c r="G97" t="s">
        <v>29</v>
      </c>
      <c r="H97">
        <v>1</v>
      </c>
      <c r="I97">
        <v>2800</v>
      </c>
      <c r="J97">
        <v>0.05</v>
      </c>
      <c r="K97">
        <v>2660</v>
      </c>
      <c r="L97" t="s">
        <v>38</v>
      </c>
    </row>
    <row r="98" spans="1:12">
      <c r="A98" t="s">
        <v>244</v>
      </c>
      <c r="B98" t="s">
        <v>125</v>
      </c>
      <c r="C98" s="1">
        <v>46127</v>
      </c>
      <c r="D98" t="s">
        <v>60</v>
      </c>
      <c r="E98" t="s">
        <v>28</v>
      </c>
      <c r="F98" t="s">
        <v>16</v>
      </c>
      <c r="G98" t="s">
        <v>17</v>
      </c>
      <c r="H98">
        <v>1</v>
      </c>
      <c r="I98">
        <v>12800</v>
      </c>
      <c r="J98">
        <v>0.05</v>
      </c>
      <c r="K98">
        <v>12160</v>
      </c>
      <c r="L98" t="s">
        <v>142</v>
      </c>
    </row>
    <row r="99" spans="1:12">
      <c r="A99" t="s">
        <v>245</v>
      </c>
      <c r="B99" t="s">
        <v>76</v>
      </c>
      <c r="C99" s="1">
        <v>46116</v>
      </c>
      <c r="D99" t="s">
        <v>115</v>
      </c>
      <c r="E99" t="s">
        <v>54</v>
      </c>
      <c r="F99" t="s">
        <v>34</v>
      </c>
      <c r="G99" t="s">
        <v>29</v>
      </c>
      <c r="H99">
        <v>2</v>
      </c>
      <c r="I99">
        <v>6800</v>
      </c>
      <c r="J99">
        <v>0</v>
      </c>
      <c r="K99">
        <v>13600</v>
      </c>
      <c r="L99" t="s">
        <v>68</v>
      </c>
    </row>
    <row r="100" spans="1:12">
      <c r="A100" t="s">
        <v>246</v>
      </c>
      <c r="B100" t="s">
        <v>247</v>
      </c>
      <c r="C100" s="1">
        <v>46144</v>
      </c>
      <c r="D100" t="s">
        <v>60</v>
      </c>
      <c r="E100" t="s">
        <v>28</v>
      </c>
      <c r="F100" t="s">
        <v>16</v>
      </c>
      <c r="G100" t="s">
        <v>29</v>
      </c>
      <c r="H100">
        <v>1</v>
      </c>
      <c r="I100">
        <v>12800</v>
      </c>
      <c r="J100">
        <v>0.1</v>
      </c>
      <c r="K100">
        <v>11520</v>
      </c>
      <c r="L100" t="s">
        <v>35</v>
      </c>
    </row>
    <row r="101" spans="1:12">
      <c r="A101" t="s">
        <v>248</v>
      </c>
      <c r="B101" t="s">
        <v>249</v>
      </c>
      <c r="C101" s="1">
        <v>46033</v>
      </c>
      <c r="D101" t="s">
        <v>100</v>
      </c>
      <c r="E101" t="s">
        <v>28</v>
      </c>
      <c r="F101" t="s">
        <v>16</v>
      </c>
      <c r="G101" t="s">
        <v>17</v>
      </c>
      <c r="H101">
        <v>1</v>
      </c>
      <c r="I101">
        <v>4200</v>
      </c>
      <c r="J101">
        <v>0.05</v>
      </c>
      <c r="K101">
        <v>3990</v>
      </c>
      <c r="L101" t="s">
        <v>18</v>
      </c>
    </row>
    <row r="102" spans="1:12">
      <c r="A102" t="s">
        <v>250</v>
      </c>
      <c r="B102" t="s">
        <v>251</v>
      </c>
      <c r="C102" s="1">
        <v>46277</v>
      </c>
      <c r="D102" t="s">
        <v>67</v>
      </c>
      <c r="E102" t="s">
        <v>54</v>
      </c>
      <c r="F102" t="s">
        <v>34</v>
      </c>
      <c r="G102" t="s">
        <v>17</v>
      </c>
      <c r="H102">
        <v>1</v>
      </c>
      <c r="I102">
        <v>2800</v>
      </c>
      <c r="J102">
        <v>0.15</v>
      </c>
      <c r="K102">
        <v>2380</v>
      </c>
      <c r="L102" t="s">
        <v>68</v>
      </c>
    </row>
    <row r="103" spans="1:12">
      <c r="A103" t="s">
        <v>252</v>
      </c>
      <c r="B103" t="s">
        <v>253</v>
      </c>
      <c r="C103" s="1">
        <v>46190</v>
      </c>
      <c r="D103" t="s">
        <v>33</v>
      </c>
      <c r="E103" t="s">
        <v>28</v>
      </c>
      <c r="F103" t="s">
        <v>34</v>
      </c>
      <c r="G103" t="s">
        <v>17</v>
      </c>
      <c r="H103">
        <v>2</v>
      </c>
      <c r="I103">
        <v>8500</v>
      </c>
      <c r="J103">
        <v>0</v>
      </c>
      <c r="K103">
        <v>17000</v>
      </c>
      <c r="L103" t="s">
        <v>113</v>
      </c>
    </row>
    <row r="104" spans="1:12">
      <c r="A104" t="s">
        <v>254</v>
      </c>
      <c r="B104" t="s">
        <v>255</v>
      </c>
      <c r="C104" s="1">
        <v>46086</v>
      </c>
      <c r="D104" t="s">
        <v>77</v>
      </c>
      <c r="E104" t="s">
        <v>54</v>
      </c>
      <c r="F104" t="s">
        <v>34</v>
      </c>
      <c r="G104" t="s">
        <v>29</v>
      </c>
      <c r="H104">
        <v>4</v>
      </c>
      <c r="I104">
        <v>7200</v>
      </c>
      <c r="J104">
        <v>0.1</v>
      </c>
      <c r="K104">
        <v>25920</v>
      </c>
      <c r="L104" t="s">
        <v>68</v>
      </c>
    </row>
    <row r="105" spans="1:12">
      <c r="A105" t="s">
        <v>256</v>
      </c>
      <c r="B105" t="s">
        <v>257</v>
      </c>
      <c r="C105" s="1">
        <v>46207</v>
      </c>
      <c r="D105" t="s">
        <v>41</v>
      </c>
      <c r="E105" t="s">
        <v>15</v>
      </c>
      <c r="F105" t="s">
        <v>16</v>
      </c>
      <c r="G105" t="s">
        <v>23</v>
      </c>
      <c r="H105">
        <v>2</v>
      </c>
      <c r="I105">
        <v>5400</v>
      </c>
      <c r="J105">
        <v>0.05</v>
      </c>
      <c r="K105">
        <v>10260</v>
      </c>
      <c r="L105" t="s">
        <v>38</v>
      </c>
    </row>
    <row r="106" spans="1:12">
      <c r="A106" t="s">
        <v>258</v>
      </c>
      <c r="B106" t="s">
        <v>259</v>
      </c>
      <c r="C106" s="1">
        <v>46030</v>
      </c>
      <c r="D106" t="s">
        <v>112</v>
      </c>
      <c r="E106" t="s">
        <v>15</v>
      </c>
      <c r="F106" t="s">
        <v>34</v>
      </c>
      <c r="G106" t="s">
        <v>17</v>
      </c>
      <c r="H106">
        <v>1</v>
      </c>
      <c r="I106">
        <v>3200</v>
      </c>
      <c r="J106">
        <v>0.15</v>
      </c>
      <c r="K106">
        <v>2720</v>
      </c>
      <c r="L106" t="s">
        <v>135</v>
      </c>
    </row>
    <row r="107" spans="1:12">
      <c r="A107" t="s">
        <v>260</v>
      </c>
      <c r="B107" t="s">
        <v>105</v>
      </c>
      <c r="C107" s="1">
        <v>46094</v>
      </c>
      <c r="D107" t="s">
        <v>103</v>
      </c>
      <c r="E107" t="s">
        <v>47</v>
      </c>
      <c r="F107" t="s">
        <v>16</v>
      </c>
      <c r="G107" t="s">
        <v>23</v>
      </c>
      <c r="H107">
        <v>1</v>
      </c>
      <c r="I107">
        <v>3800</v>
      </c>
      <c r="J107">
        <v>0.05</v>
      </c>
      <c r="K107">
        <v>3610</v>
      </c>
      <c r="L107" t="s">
        <v>35</v>
      </c>
    </row>
    <row r="108" spans="1:12">
      <c r="A108" t="s">
        <v>261</v>
      </c>
      <c r="B108" t="s">
        <v>117</v>
      </c>
      <c r="C108" s="1">
        <v>46025</v>
      </c>
      <c r="D108" t="s">
        <v>27</v>
      </c>
      <c r="E108" t="s">
        <v>28</v>
      </c>
      <c r="F108" t="s">
        <v>16</v>
      </c>
      <c r="G108" t="s">
        <v>29</v>
      </c>
      <c r="H108">
        <v>2</v>
      </c>
      <c r="I108">
        <v>3500</v>
      </c>
      <c r="J108">
        <v>0</v>
      </c>
      <c r="K108">
        <v>7000</v>
      </c>
      <c r="L108" t="s">
        <v>142</v>
      </c>
    </row>
    <row r="109" spans="1:12">
      <c r="A109" t="s">
        <v>262</v>
      </c>
      <c r="B109" t="s">
        <v>263</v>
      </c>
      <c r="C109" s="1">
        <v>46292</v>
      </c>
      <c r="D109" t="s">
        <v>183</v>
      </c>
      <c r="E109" t="s">
        <v>15</v>
      </c>
      <c r="F109" t="s">
        <v>16</v>
      </c>
      <c r="G109" t="s">
        <v>23</v>
      </c>
      <c r="H109">
        <v>4</v>
      </c>
      <c r="I109">
        <v>9800</v>
      </c>
      <c r="J109">
        <v>0.05</v>
      </c>
      <c r="K109">
        <v>37240</v>
      </c>
      <c r="L109" t="s">
        <v>38</v>
      </c>
    </row>
    <row r="110" spans="1:12">
      <c r="A110" t="s">
        <v>264</v>
      </c>
      <c r="B110" t="s">
        <v>243</v>
      </c>
      <c r="C110" s="1">
        <v>46190</v>
      </c>
      <c r="D110" t="s">
        <v>27</v>
      </c>
      <c r="E110" t="s">
        <v>28</v>
      </c>
      <c r="F110" t="s">
        <v>16</v>
      </c>
      <c r="G110" t="s">
        <v>17</v>
      </c>
      <c r="H110">
        <v>1</v>
      </c>
      <c r="I110">
        <v>3500</v>
      </c>
      <c r="J110">
        <v>0.1</v>
      </c>
      <c r="K110">
        <v>3150</v>
      </c>
      <c r="L110" t="s">
        <v>135</v>
      </c>
    </row>
    <row r="111" spans="1:12">
      <c r="A111" t="s">
        <v>265</v>
      </c>
      <c r="B111" t="s">
        <v>162</v>
      </c>
      <c r="C111" s="1">
        <v>46127</v>
      </c>
      <c r="D111" t="s">
        <v>50</v>
      </c>
      <c r="E111" t="s">
        <v>28</v>
      </c>
      <c r="F111" t="s">
        <v>16</v>
      </c>
      <c r="G111" t="s">
        <v>17</v>
      </c>
      <c r="H111">
        <v>1</v>
      </c>
      <c r="I111">
        <v>6200</v>
      </c>
      <c r="J111">
        <v>0.1</v>
      </c>
      <c r="K111">
        <v>5580</v>
      </c>
      <c r="L111" t="s">
        <v>142</v>
      </c>
    </row>
    <row r="112" spans="1:12">
      <c r="A112" t="s">
        <v>266</v>
      </c>
      <c r="B112" t="s">
        <v>267</v>
      </c>
      <c r="C112" s="1">
        <v>46238</v>
      </c>
      <c r="D112" t="s">
        <v>33</v>
      </c>
      <c r="E112" t="s">
        <v>28</v>
      </c>
      <c r="F112" t="s">
        <v>34</v>
      </c>
      <c r="G112" t="s">
        <v>29</v>
      </c>
      <c r="H112">
        <v>2</v>
      </c>
      <c r="I112">
        <v>8500</v>
      </c>
      <c r="J112">
        <v>0.15</v>
      </c>
      <c r="K112">
        <v>14450</v>
      </c>
      <c r="L112" t="s">
        <v>68</v>
      </c>
    </row>
    <row r="113" spans="1:12">
      <c r="A113" t="s">
        <v>268</v>
      </c>
      <c r="B113" t="s">
        <v>269</v>
      </c>
      <c r="C113" s="1">
        <v>46250</v>
      </c>
      <c r="D113" t="s">
        <v>14</v>
      </c>
      <c r="E113" t="s">
        <v>15</v>
      </c>
      <c r="F113" t="s">
        <v>16</v>
      </c>
      <c r="G113" t="s">
        <v>17</v>
      </c>
      <c r="H113">
        <v>1</v>
      </c>
      <c r="I113">
        <v>7600</v>
      </c>
      <c r="J113">
        <v>0.05</v>
      </c>
      <c r="K113">
        <v>7220</v>
      </c>
      <c r="L113" t="s">
        <v>64</v>
      </c>
    </row>
    <row r="114" spans="1:12">
      <c r="A114" t="s">
        <v>270</v>
      </c>
      <c r="B114" t="s">
        <v>271</v>
      </c>
      <c r="C114" s="1">
        <v>46115</v>
      </c>
      <c r="D114" t="s">
        <v>33</v>
      </c>
      <c r="E114" t="s">
        <v>28</v>
      </c>
      <c r="F114" t="s">
        <v>34</v>
      </c>
      <c r="G114" t="s">
        <v>17</v>
      </c>
      <c r="H114">
        <v>1</v>
      </c>
      <c r="I114">
        <v>8500</v>
      </c>
      <c r="J114">
        <v>0</v>
      </c>
      <c r="K114">
        <v>8500</v>
      </c>
      <c r="L114" t="s">
        <v>35</v>
      </c>
    </row>
    <row r="115" spans="1:12">
      <c r="A115" t="s">
        <v>272</v>
      </c>
      <c r="B115" t="s">
        <v>144</v>
      </c>
      <c r="C115" s="1">
        <v>46064</v>
      </c>
      <c r="D115" t="s">
        <v>88</v>
      </c>
      <c r="E115" t="s">
        <v>15</v>
      </c>
      <c r="F115" t="s">
        <v>16</v>
      </c>
      <c r="G115" t="s">
        <v>17</v>
      </c>
      <c r="H115">
        <v>2</v>
      </c>
      <c r="I115">
        <v>4800</v>
      </c>
      <c r="J115">
        <v>0.1</v>
      </c>
      <c r="K115">
        <v>8640</v>
      </c>
      <c r="L115" t="s">
        <v>97</v>
      </c>
    </row>
    <row r="116" spans="1:12">
      <c r="A116" t="s">
        <v>273</v>
      </c>
      <c r="B116" t="s">
        <v>274</v>
      </c>
      <c r="C116" s="1">
        <v>46127</v>
      </c>
      <c r="D116" t="s">
        <v>103</v>
      </c>
      <c r="E116" t="s">
        <v>47</v>
      </c>
      <c r="F116" t="s">
        <v>16</v>
      </c>
      <c r="G116" t="s">
        <v>17</v>
      </c>
      <c r="H116">
        <v>4</v>
      </c>
      <c r="I116">
        <v>3800</v>
      </c>
      <c r="J116">
        <v>0.05</v>
      </c>
      <c r="K116">
        <v>14440</v>
      </c>
      <c r="L116" t="s">
        <v>61</v>
      </c>
    </row>
    <row r="117" spans="1:12">
      <c r="A117" t="s">
        <v>275</v>
      </c>
      <c r="B117" t="s">
        <v>276</v>
      </c>
      <c r="C117" s="1">
        <v>46127</v>
      </c>
      <c r="D117" t="s">
        <v>77</v>
      </c>
      <c r="E117" t="s">
        <v>54</v>
      </c>
      <c r="F117" t="s">
        <v>16</v>
      </c>
      <c r="G117" t="s">
        <v>17</v>
      </c>
      <c r="H117">
        <v>1</v>
      </c>
      <c r="I117">
        <v>7200</v>
      </c>
      <c r="J117">
        <v>0.05</v>
      </c>
      <c r="K117">
        <v>6840</v>
      </c>
      <c r="L117" t="s">
        <v>72</v>
      </c>
    </row>
    <row r="118" spans="1:12">
      <c r="A118" t="s">
        <v>277</v>
      </c>
      <c r="B118" t="s">
        <v>74</v>
      </c>
      <c r="C118" s="1">
        <v>46081</v>
      </c>
      <c r="D118" t="s">
        <v>115</v>
      </c>
      <c r="E118" t="s">
        <v>54</v>
      </c>
      <c r="F118" t="s">
        <v>16</v>
      </c>
      <c r="G118" t="s">
        <v>29</v>
      </c>
      <c r="H118">
        <v>2</v>
      </c>
      <c r="I118">
        <v>6800</v>
      </c>
      <c r="J118">
        <v>0.15</v>
      </c>
      <c r="K118">
        <v>11560</v>
      </c>
      <c r="L118" t="s">
        <v>72</v>
      </c>
    </row>
    <row r="119" spans="1:12">
      <c r="A119" t="s">
        <v>278</v>
      </c>
      <c r="B119" t="s">
        <v>279</v>
      </c>
      <c r="C119" s="1">
        <v>46183</v>
      </c>
      <c r="D119" t="s">
        <v>118</v>
      </c>
      <c r="E119" t="s">
        <v>47</v>
      </c>
      <c r="F119" t="s">
        <v>16</v>
      </c>
      <c r="G119" t="s">
        <v>29</v>
      </c>
      <c r="H119">
        <v>2</v>
      </c>
      <c r="I119">
        <v>4100</v>
      </c>
      <c r="J119">
        <v>0.05</v>
      </c>
      <c r="K119">
        <v>7790</v>
      </c>
      <c r="L119" t="s">
        <v>24</v>
      </c>
    </row>
    <row r="120" spans="1:12">
      <c r="A120" t="s">
        <v>280</v>
      </c>
      <c r="B120" t="s">
        <v>281</v>
      </c>
      <c r="C120" s="1">
        <v>46207</v>
      </c>
      <c r="D120" t="s">
        <v>112</v>
      </c>
      <c r="E120" t="s">
        <v>15</v>
      </c>
      <c r="F120" t="s">
        <v>16</v>
      </c>
      <c r="G120" t="s">
        <v>29</v>
      </c>
      <c r="H120">
        <v>1</v>
      </c>
      <c r="I120">
        <v>3200</v>
      </c>
      <c r="J120">
        <v>0.15</v>
      </c>
      <c r="K120">
        <v>2720</v>
      </c>
      <c r="L120" t="s">
        <v>142</v>
      </c>
    </row>
    <row r="121" spans="1:12">
      <c r="A121" t="s">
        <v>282</v>
      </c>
      <c r="B121" t="s">
        <v>283</v>
      </c>
      <c r="C121" s="1">
        <v>46251</v>
      </c>
      <c r="D121" t="s">
        <v>50</v>
      </c>
      <c r="E121" t="s">
        <v>28</v>
      </c>
      <c r="F121" t="s">
        <v>16</v>
      </c>
      <c r="G121" t="s">
        <v>23</v>
      </c>
      <c r="H121">
        <v>1</v>
      </c>
      <c r="I121">
        <v>6200</v>
      </c>
      <c r="J121">
        <v>0.05</v>
      </c>
      <c r="K121">
        <v>5890</v>
      </c>
      <c r="L121" t="s">
        <v>30</v>
      </c>
    </row>
    <row r="122" spans="1:12">
      <c r="A122" t="s">
        <v>284</v>
      </c>
      <c r="B122" t="s">
        <v>190</v>
      </c>
      <c r="C122" s="1">
        <v>46113</v>
      </c>
      <c r="D122" t="s">
        <v>33</v>
      </c>
      <c r="E122" t="s">
        <v>28</v>
      </c>
      <c r="F122" t="s">
        <v>34</v>
      </c>
      <c r="G122" t="s">
        <v>17</v>
      </c>
      <c r="H122">
        <v>2</v>
      </c>
      <c r="I122">
        <v>8500</v>
      </c>
      <c r="J122">
        <v>0</v>
      </c>
      <c r="K122">
        <v>17000</v>
      </c>
      <c r="L122" t="s">
        <v>97</v>
      </c>
    </row>
    <row r="123" spans="1:12">
      <c r="A123" t="s">
        <v>285</v>
      </c>
      <c r="B123" t="s">
        <v>286</v>
      </c>
      <c r="C123" s="1">
        <v>46155</v>
      </c>
      <c r="D123" t="s">
        <v>60</v>
      </c>
      <c r="E123" t="s">
        <v>28</v>
      </c>
      <c r="F123" t="s">
        <v>16</v>
      </c>
      <c r="G123" t="s">
        <v>29</v>
      </c>
      <c r="H123">
        <v>1</v>
      </c>
      <c r="I123">
        <v>12800</v>
      </c>
      <c r="J123">
        <v>0.1</v>
      </c>
      <c r="K123">
        <v>11520</v>
      </c>
      <c r="L123" t="s">
        <v>18</v>
      </c>
    </row>
    <row r="124" spans="1:12">
      <c r="A124" t="s">
        <v>287</v>
      </c>
      <c r="B124" t="s">
        <v>288</v>
      </c>
      <c r="C124" s="1">
        <v>46052</v>
      </c>
      <c r="D124" t="s">
        <v>50</v>
      </c>
      <c r="E124" t="s">
        <v>28</v>
      </c>
      <c r="F124" t="s">
        <v>16</v>
      </c>
      <c r="G124" t="s">
        <v>29</v>
      </c>
      <c r="H124">
        <v>3</v>
      </c>
      <c r="I124">
        <v>6200</v>
      </c>
      <c r="J124">
        <v>0.1</v>
      </c>
      <c r="K124">
        <v>16740</v>
      </c>
      <c r="L124" t="s">
        <v>123</v>
      </c>
    </row>
    <row r="125" spans="1:12">
      <c r="A125" t="s">
        <v>289</v>
      </c>
      <c r="B125" t="s">
        <v>290</v>
      </c>
      <c r="C125" s="1">
        <v>46270</v>
      </c>
      <c r="D125" t="s">
        <v>46</v>
      </c>
      <c r="E125" t="s">
        <v>47</v>
      </c>
      <c r="F125" t="s">
        <v>16</v>
      </c>
      <c r="G125" t="s">
        <v>17</v>
      </c>
      <c r="H125">
        <v>2</v>
      </c>
      <c r="I125">
        <v>9200</v>
      </c>
      <c r="J125">
        <v>0.15</v>
      </c>
      <c r="K125">
        <v>15640</v>
      </c>
      <c r="L125" t="s">
        <v>24</v>
      </c>
    </row>
    <row r="126" spans="1:12">
      <c r="A126" t="s">
        <v>291</v>
      </c>
      <c r="B126" t="s">
        <v>292</v>
      </c>
      <c r="C126" s="1">
        <v>46099</v>
      </c>
      <c r="D126" t="s">
        <v>60</v>
      </c>
      <c r="E126" t="s">
        <v>28</v>
      </c>
      <c r="F126" t="s">
        <v>16</v>
      </c>
      <c r="G126" t="s">
        <v>23</v>
      </c>
      <c r="H126">
        <v>2</v>
      </c>
      <c r="I126">
        <v>12800</v>
      </c>
      <c r="J126">
        <v>0.1</v>
      </c>
      <c r="K126">
        <v>23040</v>
      </c>
      <c r="L126" t="s">
        <v>64</v>
      </c>
    </row>
    <row r="127" spans="1:12">
      <c r="A127" t="s">
        <v>293</v>
      </c>
      <c r="B127" t="s">
        <v>294</v>
      </c>
      <c r="C127" s="1">
        <v>46267</v>
      </c>
      <c r="D127" t="s">
        <v>112</v>
      </c>
      <c r="E127" t="s">
        <v>15</v>
      </c>
      <c r="F127" t="s">
        <v>34</v>
      </c>
      <c r="G127" t="s">
        <v>29</v>
      </c>
      <c r="H127">
        <v>1</v>
      </c>
      <c r="I127">
        <v>3200</v>
      </c>
      <c r="J127">
        <v>0.1</v>
      </c>
      <c r="K127">
        <v>2880</v>
      </c>
      <c r="L127" t="s">
        <v>64</v>
      </c>
    </row>
    <row r="128" spans="1:12">
      <c r="A128" t="s">
        <v>295</v>
      </c>
      <c r="B128" t="s">
        <v>296</v>
      </c>
      <c r="C128" s="1">
        <v>46181</v>
      </c>
      <c r="D128" t="s">
        <v>84</v>
      </c>
      <c r="E128" t="s">
        <v>22</v>
      </c>
      <c r="F128" t="s">
        <v>34</v>
      </c>
      <c r="G128" t="s">
        <v>17</v>
      </c>
      <c r="H128">
        <v>1</v>
      </c>
      <c r="I128">
        <v>8900</v>
      </c>
      <c r="J128">
        <v>0.1</v>
      </c>
      <c r="K128">
        <v>8010</v>
      </c>
      <c r="L128" t="s">
        <v>35</v>
      </c>
    </row>
    <row r="129" spans="1:12">
      <c r="A129" t="s">
        <v>297</v>
      </c>
      <c r="B129" t="s">
        <v>74</v>
      </c>
      <c r="C129" s="1">
        <v>46117</v>
      </c>
      <c r="D129" t="s">
        <v>96</v>
      </c>
      <c r="E129" t="s">
        <v>22</v>
      </c>
      <c r="F129" t="s">
        <v>16</v>
      </c>
      <c r="G129" t="s">
        <v>17</v>
      </c>
      <c r="H129">
        <v>1</v>
      </c>
      <c r="I129">
        <v>3200</v>
      </c>
      <c r="J129">
        <v>0.1</v>
      </c>
      <c r="K129">
        <v>2880</v>
      </c>
      <c r="L129" t="s">
        <v>85</v>
      </c>
    </row>
    <row r="130" spans="1:12">
      <c r="A130" t="s">
        <v>298</v>
      </c>
      <c r="B130" t="s">
        <v>299</v>
      </c>
      <c r="C130" s="1">
        <v>46292</v>
      </c>
      <c r="D130" t="s">
        <v>21</v>
      </c>
      <c r="E130" t="s">
        <v>22</v>
      </c>
      <c r="F130" t="s">
        <v>16</v>
      </c>
      <c r="G130" t="s">
        <v>17</v>
      </c>
      <c r="H130">
        <v>2</v>
      </c>
      <c r="I130">
        <v>7600</v>
      </c>
      <c r="J130">
        <v>0</v>
      </c>
      <c r="K130">
        <v>15200</v>
      </c>
      <c r="L130" t="s">
        <v>85</v>
      </c>
    </row>
    <row r="131" spans="1:12">
      <c r="A131" t="s">
        <v>300</v>
      </c>
      <c r="B131" t="s">
        <v>301</v>
      </c>
      <c r="C131" s="1">
        <v>46292</v>
      </c>
      <c r="D131" t="s">
        <v>118</v>
      </c>
      <c r="E131" t="s">
        <v>47</v>
      </c>
      <c r="F131" t="s">
        <v>16</v>
      </c>
      <c r="G131" t="s">
        <v>23</v>
      </c>
      <c r="H131">
        <v>3</v>
      </c>
      <c r="I131">
        <v>4100</v>
      </c>
      <c r="J131">
        <v>0.05</v>
      </c>
      <c r="K131">
        <v>11685</v>
      </c>
      <c r="L131" t="s">
        <v>61</v>
      </c>
    </row>
    <row r="132" spans="1:12">
      <c r="A132" t="s">
        <v>302</v>
      </c>
      <c r="B132" t="s">
        <v>303</v>
      </c>
      <c r="C132" s="1">
        <v>46250</v>
      </c>
      <c r="D132" t="s">
        <v>60</v>
      </c>
      <c r="E132" t="s">
        <v>28</v>
      </c>
      <c r="F132" t="s">
        <v>34</v>
      </c>
      <c r="G132" t="s">
        <v>23</v>
      </c>
      <c r="H132">
        <v>3</v>
      </c>
      <c r="I132">
        <v>12800</v>
      </c>
      <c r="J132">
        <v>0</v>
      </c>
      <c r="K132">
        <v>38400</v>
      </c>
      <c r="L132" t="s">
        <v>30</v>
      </c>
    </row>
    <row r="133" spans="1:12">
      <c r="A133" t="s">
        <v>304</v>
      </c>
      <c r="B133" t="s">
        <v>305</v>
      </c>
      <c r="C133" s="1">
        <v>46196</v>
      </c>
      <c r="D133" t="s">
        <v>183</v>
      </c>
      <c r="E133" t="s">
        <v>15</v>
      </c>
      <c r="F133" t="s">
        <v>16</v>
      </c>
      <c r="G133" t="s">
        <v>17</v>
      </c>
      <c r="H133">
        <v>2</v>
      </c>
      <c r="I133">
        <v>9800</v>
      </c>
      <c r="J133">
        <v>0.05</v>
      </c>
      <c r="K133">
        <v>18620</v>
      </c>
      <c r="L133" t="s">
        <v>38</v>
      </c>
    </row>
    <row r="134" spans="1:12">
      <c r="A134" t="s">
        <v>306</v>
      </c>
      <c r="B134" t="s">
        <v>307</v>
      </c>
      <c r="C134" s="1">
        <v>46029</v>
      </c>
      <c r="D134" t="s">
        <v>88</v>
      </c>
      <c r="E134" t="s">
        <v>15</v>
      </c>
      <c r="F134" t="s">
        <v>16</v>
      </c>
      <c r="G134" t="s">
        <v>29</v>
      </c>
      <c r="H134">
        <v>3</v>
      </c>
      <c r="I134">
        <v>4800</v>
      </c>
      <c r="J134">
        <v>0</v>
      </c>
      <c r="K134">
        <v>14400</v>
      </c>
      <c r="L134" t="s">
        <v>30</v>
      </c>
    </row>
    <row r="135" spans="1:12">
      <c r="A135" t="s">
        <v>308</v>
      </c>
      <c r="B135" t="s">
        <v>309</v>
      </c>
      <c r="C135" s="1">
        <v>46249</v>
      </c>
      <c r="D135" t="s">
        <v>183</v>
      </c>
      <c r="E135" t="s">
        <v>15</v>
      </c>
      <c r="F135" t="s">
        <v>16</v>
      </c>
      <c r="G135" t="s">
        <v>17</v>
      </c>
      <c r="H135">
        <v>2</v>
      </c>
      <c r="I135">
        <v>9800</v>
      </c>
      <c r="J135">
        <v>0.05</v>
      </c>
      <c r="K135">
        <v>18620</v>
      </c>
      <c r="L135" t="s">
        <v>85</v>
      </c>
    </row>
    <row r="136" spans="1:12">
      <c r="A136" t="s">
        <v>310</v>
      </c>
      <c r="B136" t="s">
        <v>76</v>
      </c>
      <c r="C136" s="1">
        <v>46115</v>
      </c>
      <c r="D136" t="s">
        <v>71</v>
      </c>
      <c r="E136" t="s">
        <v>47</v>
      </c>
      <c r="F136" t="s">
        <v>34</v>
      </c>
      <c r="G136" t="s">
        <v>29</v>
      </c>
      <c r="H136">
        <v>2</v>
      </c>
      <c r="I136">
        <v>5600</v>
      </c>
      <c r="J136">
        <v>0.15</v>
      </c>
      <c r="K136">
        <v>9520</v>
      </c>
      <c r="L136" t="s">
        <v>85</v>
      </c>
    </row>
    <row r="137" spans="1:12">
      <c r="A137" t="s">
        <v>311</v>
      </c>
      <c r="B137" t="s">
        <v>312</v>
      </c>
      <c r="C137" s="1">
        <v>46162</v>
      </c>
      <c r="D137" t="s">
        <v>130</v>
      </c>
      <c r="E137" t="s">
        <v>22</v>
      </c>
      <c r="F137" t="s">
        <v>16</v>
      </c>
      <c r="G137" t="s">
        <v>29</v>
      </c>
      <c r="H137">
        <v>1</v>
      </c>
      <c r="I137">
        <v>5900</v>
      </c>
      <c r="J137">
        <v>0</v>
      </c>
      <c r="K137">
        <v>5900</v>
      </c>
      <c r="L137" t="s">
        <v>97</v>
      </c>
    </row>
    <row r="138" spans="1:12">
      <c r="A138" t="s">
        <v>313</v>
      </c>
      <c r="B138" t="s">
        <v>314</v>
      </c>
      <c r="C138" s="1">
        <v>46245</v>
      </c>
      <c r="D138" t="s">
        <v>118</v>
      </c>
      <c r="E138" t="s">
        <v>47</v>
      </c>
      <c r="F138" t="s">
        <v>34</v>
      </c>
      <c r="G138" t="s">
        <v>29</v>
      </c>
      <c r="H138">
        <v>1</v>
      </c>
      <c r="I138">
        <v>4100</v>
      </c>
      <c r="J138">
        <v>0</v>
      </c>
      <c r="K138">
        <v>4100</v>
      </c>
      <c r="L138" t="s">
        <v>61</v>
      </c>
    </row>
    <row r="139" spans="1:12">
      <c r="A139" t="s">
        <v>315</v>
      </c>
      <c r="B139" t="s">
        <v>173</v>
      </c>
      <c r="C139" s="1">
        <v>46251</v>
      </c>
      <c r="D139" t="s">
        <v>67</v>
      </c>
      <c r="E139" t="s">
        <v>54</v>
      </c>
      <c r="F139" t="s">
        <v>16</v>
      </c>
      <c r="G139" t="s">
        <v>17</v>
      </c>
      <c r="H139">
        <v>1</v>
      </c>
      <c r="I139">
        <v>2800</v>
      </c>
      <c r="J139">
        <v>0.15</v>
      </c>
      <c r="K139">
        <v>2380</v>
      </c>
      <c r="L139" t="s">
        <v>30</v>
      </c>
    </row>
    <row r="140" spans="1:12">
      <c r="A140" t="s">
        <v>316</v>
      </c>
      <c r="B140" t="s">
        <v>105</v>
      </c>
      <c r="C140" s="1">
        <v>46140</v>
      </c>
      <c r="D140" t="s">
        <v>71</v>
      </c>
      <c r="E140" t="s">
        <v>47</v>
      </c>
      <c r="F140" t="s">
        <v>16</v>
      </c>
      <c r="G140" t="s">
        <v>23</v>
      </c>
      <c r="H140">
        <v>2</v>
      </c>
      <c r="I140">
        <v>5600</v>
      </c>
      <c r="J140">
        <v>0</v>
      </c>
      <c r="K140">
        <v>11200</v>
      </c>
      <c r="L140" t="s">
        <v>30</v>
      </c>
    </row>
    <row r="141" spans="1:12">
      <c r="A141" t="s">
        <v>317</v>
      </c>
      <c r="B141" t="s">
        <v>318</v>
      </c>
      <c r="C141" s="1">
        <v>46290</v>
      </c>
      <c r="D141" t="s">
        <v>67</v>
      </c>
      <c r="E141" t="s">
        <v>54</v>
      </c>
      <c r="F141" t="s">
        <v>16</v>
      </c>
      <c r="G141" t="s">
        <v>29</v>
      </c>
      <c r="H141">
        <v>3</v>
      </c>
      <c r="I141">
        <v>2800</v>
      </c>
      <c r="J141">
        <v>0.05</v>
      </c>
      <c r="K141">
        <v>7980</v>
      </c>
      <c r="L141" t="s">
        <v>85</v>
      </c>
    </row>
    <row r="142" spans="1:12">
      <c r="A142" t="s">
        <v>319</v>
      </c>
      <c r="B142" t="s">
        <v>320</v>
      </c>
      <c r="C142" s="1">
        <v>46044</v>
      </c>
      <c r="D142" t="s">
        <v>21</v>
      </c>
      <c r="E142" t="s">
        <v>22</v>
      </c>
      <c r="F142" t="s">
        <v>34</v>
      </c>
      <c r="G142" t="s">
        <v>29</v>
      </c>
      <c r="H142">
        <v>1</v>
      </c>
      <c r="I142">
        <v>7600</v>
      </c>
      <c r="J142">
        <v>0.1</v>
      </c>
      <c r="K142">
        <v>6840</v>
      </c>
      <c r="L142" t="s">
        <v>123</v>
      </c>
    </row>
    <row r="143" spans="1:12">
      <c r="A143" t="s">
        <v>321</v>
      </c>
      <c r="B143" t="s">
        <v>257</v>
      </c>
      <c r="C143" s="1">
        <v>46120</v>
      </c>
      <c r="D143" t="s">
        <v>118</v>
      </c>
      <c r="E143" t="s">
        <v>47</v>
      </c>
      <c r="F143" t="s">
        <v>16</v>
      </c>
      <c r="G143" t="s">
        <v>29</v>
      </c>
      <c r="H143">
        <v>1</v>
      </c>
      <c r="I143">
        <v>4100</v>
      </c>
      <c r="J143">
        <v>0</v>
      </c>
      <c r="K143">
        <v>4100</v>
      </c>
      <c r="L143" t="s">
        <v>38</v>
      </c>
    </row>
    <row r="144" spans="1:12">
      <c r="A144" t="s">
        <v>322</v>
      </c>
      <c r="B144" t="s">
        <v>323</v>
      </c>
      <c r="C144" s="1">
        <v>46207</v>
      </c>
      <c r="D144" t="s">
        <v>41</v>
      </c>
      <c r="E144" t="s">
        <v>15</v>
      </c>
      <c r="F144" t="s">
        <v>16</v>
      </c>
      <c r="G144" t="s">
        <v>29</v>
      </c>
      <c r="H144">
        <v>2</v>
      </c>
      <c r="I144">
        <v>5400</v>
      </c>
      <c r="J144">
        <v>0.05</v>
      </c>
      <c r="K144">
        <v>10260</v>
      </c>
      <c r="L144" t="s">
        <v>64</v>
      </c>
    </row>
    <row r="145" spans="1:12">
      <c r="A145" t="s">
        <v>324</v>
      </c>
      <c r="B145" t="s">
        <v>325</v>
      </c>
      <c r="C145" s="1">
        <v>46137</v>
      </c>
      <c r="D145" t="s">
        <v>33</v>
      </c>
      <c r="E145" t="s">
        <v>28</v>
      </c>
      <c r="F145" t="s">
        <v>34</v>
      </c>
      <c r="G145" t="s">
        <v>17</v>
      </c>
      <c r="H145">
        <v>1</v>
      </c>
      <c r="I145">
        <v>8500</v>
      </c>
      <c r="J145">
        <v>0.15</v>
      </c>
      <c r="K145">
        <v>7225</v>
      </c>
      <c r="L145" t="s">
        <v>85</v>
      </c>
    </row>
    <row r="146" spans="1:12">
      <c r="A146" t="s">
        <v>326</v>
      </c>
      <c r="B146" t="s">
        <v>37</v>
      </c>
      <c r="C146" s="1">
        <v>46281</v>
      </c>
      <c r="D146" t="s">
        <v>112</v>
      </c>
      <c r="E146" t="s">
        <v>15</v>
      </c>
      <c r="F146" t="s">
        <v>34</v>
      </c>
      <c r="G146" t="s">
        <v>23</v>
      </c>
      <c r="H146">
        <v>4</v>
      </c>
      <c r="I146">
        <v>3200</v>
      </c>
      <c r="J146">
        <v>0</v>
      </c>
      <c r="K146">
        <v>12800</v>
      </c>
      <c r="L146" t="s">
        <v>85</v>
      </c>
    </row>
    <row r="147" spans="1:12">
      <c r="A147" t="s">
        <v>327</v>
      </c>
      <c r="B147" t="s">
        <v>328</v>
      </c>
      <c r="C147" s="1">
        <v>46151</v>
      </c>
      <c r="D147" t="s">
        <v>103</v>
      </c>
      <c r="E147" t="s">
        <v>47</v>
      </c>
      <c r="F147" t="s">
        <v>16</v>
      </c>
      <c r="G147" t="s">
        <v>29</v>
      </c>
      <c r="H147">
        <v>2</v>
      </c>
      <c r="I147">
        <v>3800</v>
      </c>
      <c r="J147">
        <v>0.1</v>
      </c>
      <c r="K147">
        <v>6840</v>
      </c>
      <c r="L147" t="s">
        <v>68</v>
      </c>
    </row>
    <row r="148" spans="1:12">
      <c r="A148" t="s">
        <v>329</v>
      </c>
      <c r="B148" t="s">
        <v>330</v>
      </c>
      <c r="C148" s="1">
        <v>46059</v>
      </c>
      <c r="D148" t="s">
        <v>96</v>
      </c>
      <c r="E148" t="s">
        <v>22</v>
      </c>
      <c r="F148" t="s">
        <v>34</v>
      </c>
      <c r="G148" t="s">
        <v>17</v>
      </c>
      <c r="H148">
        <v>1</v>
      </c>
      <c r="I148">
        <v>3200</v>
      </c>
      <c r="J148">
        <v>0</v>
      </c>
      <c r="K148">
        <v>3200</v>
      </c>
      <c r="L148" t="s">
        <v>61</v>
      </c>
    </row>
    <row r="149" spans="1:12">
      <c r="A149" t="s">
        <v>331</v>
      </c>
      <c r="B149" t="s">
        <v>332</v>
      </c>
      <c r="C149" s="1">
        <v>46055</v>
      </c>
      <c r="D149" t="s">
        <v>77</v>
      </c>
      <c r="E149" t="s">
        <v>54</v>
      </c>
      <c r="F149" t="s">
        <v>16</v>
      </c>
      <c r="G149" t="s">
        <v>29</v>
      </c>
      <c r="H149">
        <v>1</v>
      </c>
      <c r="I149">
        <v>7200</v>
      </c>
      <c r="J149">
        <v>0</v>
      </c>
      <c r="K149">
        <v>7200</v>
      </c>
      <c r="L149" t="s">
        <v>142</v>
      </c>
    </row>
    <row r="150" spans="1:12">
      <c r="A150" t="s">
        <v>333</v>
      </c>
      <c r="B150" t="s">
        <v>251</v>
      </c>
      <c r="C150" s="1">
        <v>46182</v>
      </c>
      <c r="D150" t="s">
        <v>60</v>
      </c>
      <c r="E150" t="s">
        <v>28</v>
      </c>
      <c r="F150" t="s">
        <v>34</v>
      </c>
      <c r="G150" t="s">
        <v>17</v>
      </c>
      <c r="H150">
        <v>1</v>
      </c>
      <c r="I150">
        <v>12800</v>
      </c>
      <c r="J150">
        <v>0</v>
      </c>
      <c r="K150">
        <v>12800</v>
      </c>
      <c r="L150" t="s">
        <v>142</v>
      </c>
    </row>
    <row r="151" spans="1:12">
      <c r="A151" t="s">
        <v>334</v>
      </c>
      <c r="B151" t="s">
        <v>335</v>
      </c>
      <c r="C151" s="1">
        <v>46025</v>
      </c>
      <c r="D151" t="s">
        <v>88</v>
      </c>
      <c r="E151" t="s">
        <v>15</v>
      </c>
      <c r="F151" t="s">
        <v>16</v>
      </c>
      <c r="G151" t="s">
        <v>17</v>
      </c>
      <c r="H151">
        <v>2</v>
      </c>
      <c r="I151">
        <v>4800</v>
      </c>
      <c r="J151">
        <v>0.05</v>
      </c>
      <c r="K151">
        <v>9120</v>
      </c>
      <c r="L151" t="s">
        <v>72</v>
      </c>
    </row>
    <row r="152" spans="1:12">
      <c r="A152" t="s">
        <v>336</v>
      </c>
      <c r="B152" t="s">
        <v>137</v>
      </c>
      <c r="C152" s="1">
        <v>46291</v>
      </c>
      <c r="D152" t="s">
        <v>112</v>
      </c>
      <c r="E152" t="s">
        <v>15</v>
      </c>
      <c r="F152" t="s">
        <v>16</v>
      </c>
      <c r="G152" t="s">
        <v>29</v>
      </c>
      <c r="H152">
        <v>3</v>
      </c>
      <c r="I152">
        <v>3200</v>
      </c>
      <c r="J152">
        <v>0</v>
      </c>
      <c r="K152">
        <v>9600</v>
      </c>
      <c r="L152" t="s">
        <v>18</v>
      </c>
    </row>
    <row r="153" spans="1:12">
      <c r="A153" t="s">
        <v>337</v>
      </c>
      <c r="B153" t="s">
        <v>338</v>
      </c>
      <c r="C153" s="1">
        <v>46278</v>
      </c>
      <c r="D153" t="s">
        <v>60</v>
      </c>
      <c r="E153" t="s">
        <v>28</v>
      </c>
      <c r="F153" t="s">
        <v>34</v>
      </c>
      <c r="G153" t="s">
        <v>17</v>
      </c>
      <c r="H153">
        <v>2</v>
      </c>
      <c r="I153">
        <v>12800</v>
      </c>
      <c r="J153">
        <v>0.05</v>
      </c>
      <c r="K153">
        <v>24320</v>
      </c>
      <c r="L153" t="s">
        <v>113</v>
      </c>
    </row>
    <row r="154" spans="1:12">
      <c r="A154" t="s">
        <v>339</v>
      </c>
      <c r="B154" t="s">
        <v>340</v>
      </c>
      <c r="C154" s="1">
        <v>46153</v>
      </c>
      <c r="D154" t="s">
        <v>14</v>
      </c>
      <c r="E154" t="s">
        <v>15</v>
      </c>
      <c r="F154" t="s">
        <v>16</v>
      </c>
      <c r="G154" t="s">
        <v>29</v>
      </c>
      <c r="H154">
        <v>2</v>
      </c>
      <c r="I154">
        <v>7600</v>
      </c>
      <c r="J154">
        <v>0.1</v>
      </c>
      <c r="K154">
        <v>13680</v>
      </c>
      <c r="L154" t="s">
        <v>64</v>
      </c>
    </row>
    <row r="155" spans="1:12">
      <c r="A155" t="s">
        <v>341</v>
      </c>
      <c r="B155" t="s">
        <v>342</v>
      </c>
      <c r="C155" s="1">
        <v>46030</v>
      </c>
      <c r="D155" t="s">
        <v>60</v>
      </c>
      <c r="E155" t="s">
        <v>28</v>
      </c>
      <c r="F155" t="s">
        <v>16</v>
      </c>
      <c r="G155" t="s">
        <v>29</v>
      </c>
      <c r="H155">
        <v>1</v>
      </c>
      <c r="I155">
        <v>12800</v>
      </c>
      <c r="J155">
        <v>0.1</v>
      </c>
      <c r="K155">
        <v>11520</v>
      </c>
      <c r="L155" t="s">
        <v>38</v>
      </c>
    </row>
    <row r="156" spans="1:12">
      <c r="A156" t="s">
        <v>343</v>
      </c>
      <c r="B156" t="s">
        <v>344</v>
      </c>
      <c r="C156" s="1">
        <v>46260</v>
      </c>
      <c r="D156" t="s">
        <v>57</v>
      </c>
      <c r="E156" t="s">
        <v>54</v>
      </c>
      <c r="F156" t="s">
        <v>16</v>
      </c>
      <c r="G156" t="s">
        <v>29</v>
      </c>
      <c r="H156">
        <v>1</v>
      </c>
      <c r="I156">
        <v>2400</v>
      </c>
      <c r="J156">
        <v>0.05</v>
      </c>
      <c r="K156">
        <v>2280</v>
      </c>
      <c r="L156" t="s">
        <v>85</v>
      </c>
    </row>
    <row r="157" spans="1:12">
      <c r="A157" t="s">
        <v>345</v>
      </c>
      <c r="B157" t="s">
        <v>346</v>
      </c>
      <c r="C157" s="1">
        <v>46257</v>
      </c>
      <c r="D157" t="s">
        <v>71</v>
      </c>
      <c r="E157" t="s">
        <v>47</v>
      </c>
      <c r="F157" t="s">
        <v>16</v>
      </c>
      <c r="G157" t="s">
        <v>23</v>
      </c>
      <c r="H157">
        <v>2</v>
      </c>
      <c r="I157">
        <v>5600</v>
      </c>
      <c r="J157">
        <v>0.2</v>
      </c>
      <c r="K157">
        <v>8960</v>
      </c>
      <c r="L157" t="s">
        <v>38</v>
      </c>
    </row>
    <row r="158" spans="1:12">
      <c r="A158" t="s">
        <v>347</v>
      </c>
      <c r="B158" t="s">
        <v>348</v>
      </c>
      <c r="C158" s="1">
        <v>46224</v>
      </c>
      <c r="D158" t="s">
        <v>60</v>
      </c>
      <c r="E158" t="s">
        <v>28</v>
      </c>
      <c r="F158" t="s">
        <v>34</v>
      </c>
      <c r="G158" t="s">
        <v>17</v>
      </c>
      <c r="H158">
        <v>2</v>
      </c>
      <c r="I158">
        <v>12800</v>
      </c>
      <c r="J158">
        <v>0.1</v>
      </c>
      <c r="K158">
        <v>23040</v>
      </c>
      <c r="L158" t="s">
        <v>68</v>
      </c>
    </row>
    <row r="159" spans="1:12">
      <c r="A159" t="s">
        <v>349</v>
      </c>
      <c r="B159" t="s">
        <v>350</v>
      </c>
      <c r="C159" s="1">
        <v>46100</v>
      </c>
      <c r="D159" t="s">
        <v>60</v>
      </c>
      <c r="E159" t="s">
        <v>28</v>
      </c>
      <c r="F159" t="s">
        <v>16</v>
      </c>
      <c r="G159" t="s">
        <v>29</v>
      </c>
      <c r="H159">
        <v>1</v>
      </c>
      <c r="I159">
        <v>12800</v>
      </c>
      <c r="J159">
        <v>0.15</v>
      </c>
      <c r="K159">
        <v>10880</v>
      </c>
      <c r="L159" t="s">
        <v>85</v>
      </c>
    </row>
    <row r="160" spans="1:12">
      <c r="A160" t="s">
        <v>351</v>
      </c>
      <c r="B160" t="s">
        <v>352</v>
      </c>
      <c r="C160" s="1">
        <v>46168</v>
      </c>
      <c r="D160" t="s">
        <v>112</v>
      </c>
      <c r="E160" t="s">
        <v>15</v>
      </c>
      <c r="F160" t="s">
        <v>16</v>
      </c>
      <c r="G160" t="s">
        <v>23</v>
      </c>
      <c r="H160">
        <v>1</v>
      </c>
      <c r="I160">
        <v>3200</v>
      </c>
      <c r="J160">
        <v>0.15</v>
      </c>
      <c r="K160">
        <v>2720</v>
      </c>
      <c r="L160" t="s">
        <v>142</v>
      </c>
    </row>
    <row r="161" spans="1:12">
      <c r="A161" t="s">
        <v>353</v>
      </c>
      <c r="B161" t="s">
        <v>354</v>
      </c>
      <c r="C161" s="1">
        <v>46199</v>
      </c>
      <c r="D161" t="s">
        <v>27</v>
      </c>
      <c r="E161" t="s">
        <v>28</v>
      </c>
      <c r="F161" t="s">
        <v>34</v>
      </c>
      <c r="G161" t="s">
        <v>17</v>
      </c>
      <c r="H161">
        <v>1</v>
      </c>
      <c r="I161">
        <v>3500</v>
      </c>
      <c r="J161">
        <v>0.1</v>
      </c>
      <c r="K161">
        <v>3150</v>
      </c>
      <c r="L161" t="s">
        <v>30</v>
      </c>
    </row>
    <row r="162" spans="1:12">
      <c r="A162" t="s">
        <v>355</v>
      </c>
      <c r="B162" t="s">
        <v>356</v>
      </c>
      <c r="C162" s="1">
        <v>46023</v>
      </c>
      <c r="D162" t="s">
        <v>60</v>
      </c>
      <c r="E162" t="s">
        <v>28</v>
      </c>
      <c r="F162" t="s">
        <v>34</v>
      </c>
      <c r="G162" t="s">
        <v>17</v>
      </c>
      <c r="H162">
        <v>2</v>
      </c>
      <c r="I162">
        <v>12800</v>
      </c>
      <c r="J162">
        <v>0.15</v>
      </c>
      <c r="K162">
        <v>21760</v>
      </c>
      <c r="L162" t="s">
        <v>85</v>
      </c>
    </row>
    <row r="163" spans="1:12">
      <c r="A163" t="s">
        <v>357</v>
      </c>
      <c r="B163" t="s">
        <v>358</v>
      </c>
      <c r="C163" s="1">
        <v>46124</v>
      </c>
      <c r="D163" t="s">
        <v>21</v>
      </c>
      <c r="E163" t="s">
        <v>22</v>
      </c>
      <c r="F163" t="s">
        <v>16</v>
      </c>
      <c r="G163" t="s">
        <v>23</v>
      </c>
      <c r="H163">
        <v>3</v>
      </c>
      <c r="I163">
        <v>7600</v>
      </c>
      <c r="J163">
        <v>0.15</v>
      </c>
      <c r="K163">
        <v>19380</v>
      </c>
      <c r="L163" t="s">
        <v>35</v>
      </c>
    </row>
    <row r="164" spans="1:12">
      <c r="A164" t="s">
        <v>359</v>
      </c>
      <c r="B164" t="s">
        <v>360</v>
      </c>
      <c r="C164" s="1">
        <v>46149</v>
      </c>
      <c r="D164" t="s">
        <v>71</v>
      </c>
      <c r="E164" t="s">
        <v>47</v>
      </c>
      <c r="F164" t="s">
        <v>34</v>
      </c>
      <c r="G164" t="s">
        <v>17</v>
      </c>
      <c r="H164">
        <v>2</v>
      </c>
      <c r="I164">
        <v>5600</v>
      </c>
      <c r="J164">
        <v>0.05</v>
      </c>
      <c r="K164">
        <v>10640</v>
      </c>
      <c r="L164" t="s">
        <v>135</v>
      </c>
    </row>
    <row r="165" spans="1:12">
      <c r="A165" t="s">
        <v>361</v>
      </c>
      <c r="B165" t="s">
        <v>362</v>
      </c>
      <c r="C165" s="1">
        <v>46170</v>
      </c>
      <c r="D165" t="s">
        <v>71</v>
      </c>
      <c r="E165" t="s">
        <v>47</v>
      </c>
      <c r="F165" t="s">
        <v>16</v>
      </c>
      <c r="G165" t="s">
        <v>17</v>
      </c>
      <c r="H165">
        <v>1</v>
      </c>
      <c r="I165">
        <v>5600</v>
      </c>
      <c r="J165">
        <v>0.2</v>
      </c>
      <c r="K165">
        <v>4480</v>
      </c>
      <c r="L165" t="s">
        <v>18</v>
      </c>
    </row>
    <row r="166" spans="1:12">
      <c r="A166" t="s">
        <v>363</v>
      </c>
      <c r="B166" t="s">
        <v>364</v>
      </c>
      <c r="C166" s="1">
        <v>46163</v>
      </c>
      <c r="D166" t="s">
        <v>91</v>
      </c>
      <c r="E166" t="s">
        <v>22</v>
      </c>
      <c r="F166" t="s">
        <v>34</v>
      </c>
      <c r="G166" t="s">
        <v>29</v>
      </c>
      <c r="H166">
        <v>4</v>
      </c>
      <c r="I166">
        <v>11500</v>
      </c>
      <c r="J166">
        <v>0</v>
      </c>
      <c r="K166">
        <v>46000</v>
      </c>
      <c r="L166" t="s">
        <v>113</v>
      </c>
    </row>
    <row r="167" spans="1:12">
      <c r="A167" t="s">
        <v>365</v>
      </c>
      <c r="B167" t="s">
        <v>366</v>
      </c>
      <c r="C167" s="1">
        <v>46162</v>
      </c>
      <c r="D167" t="s">
        <v>112</v>
      </c>
      <c r="E167" t="s">
        <v>15</v>
      </c>
      <c r="F167" t="s">
        <v>16</v>
      </c>
      <c r="G167" t="s">
        <v>23</v>
      </c>
      <c r="H167">
        <v>3</v>
      </c>
      <c r="I167">
        <v>3200</v>
      </c>
      <c r="J167">
        <v>0.2</v>
      </c>
      <c r="K167">
        <v>7680</v>
      </c>
      <c r="L167" t="s">
        <v>85</v>
      </c>
    </row>
    <row r="168" spans="1:12">
      <c r="A168" t="s">
        <v>367</v>
      </c>
      <c r="B168" t="s">
        <v>368</v>
      </c>
      <c r="C168" s="1">
        <v>46088</v>
      </c>
      <c r="D168" t="s">
        <v>115</v>
      </c>
      <c r="E168" t="s">
        <v>54</v>
      </c>
      <c r="F168" t="s">
        <v>34</v>
      </c>
      <c r="G168" t="s">
        <v>17</v>
      </c>
      <c r="H168">
        <v>2</v>
      </c>
      <c r="I168">
        <v>6800</v>
      </c>
      <c r="J168">
        <v>0.15</v>
      </c>
      <c r="K168">
        <v>11560</v>
      </c>
      <c r="L168" t="s">
        <v>72</v>
      </c>
    </row>
    <row r="169" spans="1:12">
      <c r="A169" t="s">
        <v>369</v>
      </c>
      <c r="B169" t="s">
        <v>370</v>
      </c>
      <c r="C169" s="1">
        <v>46138</v>
      </c>
      <c r="D169" t="s">
        <v>91</v>
      </c>
      <c r="E169" t="s">
        <v>22</v>
      </c>
      <c r="F169" t="s">
        <v>16</v>
      </c>
      <c r="G169" t="s">
        <v>17</v>
      </c>
      <c r="H169">
        <v>2</v>
      </c>
      <c r="I169">
        <v>11500</v>
      </c>
      <c r="J169">
        <v>0.05</v>
      </c>
      <c r="K169">
        <v>21850</v>
      </c>
      <c r="L169" t="s">
        <v>24</v>
      </c>
    </row>
    <row r="170" spans="1:12">
      <c r="A170" t="s">
        <v>371</v>
      </c>
      <c r="B170" t="s">
        <v>372</v>
      </c>
      <c r="C170" s="1">
        <v>46024</v>
      </c>
      <c r="D170" t="s">
        <v>33</v>
      </c>
      <c r="E170" t="s">
        <v>28</v>
      </c>
      <c r="F170" t="s">
        <v>16</v>
      </c>
      <c r="G170" t="s">
        <v>23</v>
      </c>
      <c r="H170">
        <v>1</v>
      </c>
      <c r="I170">
        <v>8500</v>
      </c>
      <c r="J170">
        <v>0.05</v>
      </c>
      <c r="K170">
        <v>8075</v>
      </c>
      <c r="L170" t="s">
        <v>68</v>
      </c>
    </row>
    <row r="171" spans="1:12">
      <c r="A171" t="s">
        <v>373</v>
      </c>
      <c r="B171" t="s">
        <v>374</v>
      </c>
      <c r="C171" s="1">
        <v>46100</v>
      </c>
      <c r="D171" t="s">
        <v>88</v>
      </c>
      <c r="E171" t="s">
        <v>15</v>
      </c>
      <c r="F171" t="s">
        <v>34</v>
      </c>
      <c r="G171" t="s">
        <v>29</v>
      </c>
      <c r="H171">
        <v>2</v>
      </c>
      <c r="I171">
        <v>4800</v>
      </c>
      <c r="J171">
        <v>0</v>
      </c>
      <c r="K171">
        <v>9600</v>
      </c>
      <c r="L171" t="s">
        <v>38</v>
      </c>
    </row>
    <row r="172" spans="1:12">
      <c r="A172" t="s">
        <v>375</v>
      </c>
      <c r="B172" t="s">
        <v>176</v>
      </c>
      <c r="C172" s="1">
        <v>46154</v>
      </c>
      <c r="D172" t="s">
        <v>130</v>
      </c>
      <c r="E172" t="s">
        <v>22</v>
      </c>
      <c r="F172" t="s">
        <v>16</v>
      </c>
      <c r="G172" t="s">
        <v>29</v>
      </c>
      <c r="H172">
        <v>1</v>
      </c>
      <c r="I172">
        <v>5900</v>
      </c>
      <c r="J172">
        <v>0.1</v>
      </c>
      <c r="K172">
        <v>5310</v>
      </c>
      <c r="L172" t="s">
        <v>30</v>
      </c>
    </row>
    <row r="173" spans="1:12">
      <c r="A173" t="s">
        <v>376</v>
      </c>
      <c r="B173" t="s">
        <v>377</v>
      </c>
      <c r="C173" s="1">
        <v>46269</v>
      </c>
      <c r="D173" t="s">
        <v>77</v>
      </c>
      <c r="E173" t="s">
        <v>54</v>
      </c>
      <c r="F173" t="s">
        <v>16</v>
      </c>
      <c r="G173" t="s">
        <v>23</v>
      </c>
      <c r="H173">
        <v>1</v>
      </c>
      <c r="I173">
        <v>7200</v>
      </c>
      <c r="J173">
        <v>0.05</v>
      </c>
      <c r="K173">
        <v>6840</v>
      </c>
      <c r="L173" t="s">
        <v>135</v>
      </c>
    </row>
    <row r="174" spans="1:12">
      <c r="A174" t="s">
        <v>378</v>
      </c>
      <c r="B174" t="s">
        <v>379</v>
      </c>
      <c r="C174" s="1">
        <v>46036</v>
      </c>
      <c r="D174" t="s">
        <v>67</v>
      </c>
      <c r="E174" t="s">
        <v>54</v>
      </c>
      <c r="F174" t="s">
        <v>16</v>
      </c>
      <c r="G174" t="s">
        <v>17</v>
      </c>
      <c r="H174">
        <v>1</v>
      </c>
      <c r="I174">
        <v>2800</v>
      </c>
      <c r="J174">
        <v>0</v>
      </c>
      <c r="K174">
        <v>2800</v>
      </c>
      <c r="L174" t="s">
        <v>18</v>
      </c>
    </row>
    <row r="175" spans="1:12">
      <c r="A175" t="s">
        <v>380</v>
      </c>
      <c r="B175" t="s">
        <v>381</v>
      </c>
      <c r="C175" s="1">
        <v>46044</v>
      </c>
      <c r="D175" t="s">
        <v>71</v>
      </c>
      <c r="E175" t="s">
        <v>47</v>
      </c>
      <c r="F175" t="s">
        <v>34</v>
      </c>
      <c r="G175" t="s">
        <v>29</v>
      </c>
      <c r="H175">
        <v>3</v>
      </c>
      <c r="I175">
        <v>5600</v>
      </c>
      <c r="J175">
        <v>0</v>
      </c>
      <c r="K175">
        <v>16800</v>
      </c>
      <c r="L175" t="s">
        <v>64</v>
      </c>
    </row>
    <row r="176" spans="1:12">
      <c r="A176" t="s">
        <v>382</v>
      </c>
      <c r="B176" t="s">
        <v>178</v>
      </c>
      <c r="C176" s="1">
        <v>46042</v>
      </c>
      <c r="D176" t="s">
        <v>84</v>
      </c>
      <c r="E176" t="s">
        <v>22</v>
      </c>
      <c r="F176" t="s">
        <v>16</v>
      </c>
      <c r="G176" t="s">
        <v>29</v>
      </c>
      <c r="H176">
        <v>4</v>
      </c>
      <c r="I176">
        <v>8900</v>
      </c>
      <c r="J176">
        <v>0.1</v>
      </c>
      <c r="K176">
        <v>32040</v>
      </c>
      <c r="L176" t="s">
        <v>68</v>
      </c>
    </row>
    <row r="177" spans="1:12">
      <c r="A177" t="s">
        <v>383</v>
      </c>
      <c r="B177" t="s">
        <v>384</v>
      </c>
      <c r="C177" s="1">
        <v>46025</v>
      </c>
      <c r="D177" t="s">
        <v>46</v>
      </c>
      <c r="E177" t="s">
        <v>47</v>
      </c>
      <c r="F177" t="s">
        <v>16</v>
      </c>
      <c r="G177" t="s">
        <v>17</v>
      </c>
      <c r="H177">
        <v>1</v>
      </c>
      <c r="I177">
        <v>9200</v>
      </c>
      <c r="J177">
        <v>0.05</v>
      </c>
      <c r="K177">
        <v>8740</v>
      </c>
      <c r="L177" t="s">
        <v>72</v>
      </c>
    </row>
    <row r="178" spans="1:12">
      <c r="A178" t="s">
        <v>385</v>
      </c>
      <c r="B178" t="s">
        <v>386</v>
      </c>
      <c r="C178" s="1">
        <v>46025</v>
      </c>
      <c r="D178" t="s">
        <v>103</v>
      </c>
      <c r="E178" t="s">
        <v>47</v>
      </c>
      <c r="F178" t="s">
        <v>34</v>
      </c>
      <c r="G178" t="s">
        <v>17</v>
      </c>
      <c r="H178">
        <v>1</v>
      </c>
      <c r="I178">
        <v>3800</v>
      </c>
      <c r="J178">
        <v>0.1</v>
      </c>
      <c r="K178">
        <v>3420</v>
      </c>
      <c r="L178" t="s">
        <v>30</v>
      </c>
    </row>
    <row r="179" spans="1:12">
      <c r="A179" t="s">
        <v>387</v>
      </c>
      <c r="B179" t="s">
        <v>388</v>
      </c>
      <c r="C179" s="1">
        <v>46063</v>
      </c>
      <c r="D179" t="s">
        <v>389</v>
      </c>
      <c r="E179" t="s">
        <v>47</v>
      </c>
      <c r="F179" t="s">
        <v>34</v>
      </c>
      <c r="G179" t="s">
        <v>17</v>
      </c>
      <c r="H179">
        <v>4</v>
      </c>
      <c r="I179">
        <v>7400</v>
      </c>
      <c r="J179">
        <v>0</v>
      </c>
      <c r="K179">
        <v>29600</v>
      </c>
      <c r="L179" t="s">
        <v>24</v>
      </c>
    </row>
    <row r="180" spans="1:12">
      <c r="A180" t="s">
        <v>390</v>
      </c>
      <c r="B180" t="s">
        <v>391</v>
      </c>
      <c r="C180" s="1">
        <v>46232</v>
      </c>
      <c r="D180" t="s">
        <v>14</v>
      </c>
      <c r="E180" t="s">
        <v>15</v>
      </c>
      <c r="F180" t="s">
        <v>16</v>
      </c>
      <c r="G180" t="s">
        <v>29</v>
      </c>
      <c r="H180">
        <v>1</v>
      </c>
      <c r="I180">
        <v>7600</v>
      </c>
      <c r="J180">
        <v>0.05</v>
      </c>
      <c r="K180">
        <v>7220</v>
      </c>
      <c r="L180" t="s">
        <v>135</v>
      </c>
    </row>
    <row r="181" spans="1:12">
      <c r="A181" t="s">
        <v>392</v>
      </c>
      <c r="B181" t="s">
        <v>393</v>
      </c>
      <c r="C181" s="1">
        <v>46062</v>
      </c>
      <c r="D181" t="s">
        <v>14</v>
      </c>
      <c r="E181" t="s">
        <v>15</v>
      </c>
      <c r="F181" t="s">
        <v>16</v>
      </c>
      <c r="G181" t="s">
        <v>17</v>
      </c>
      <c r="H181">
        <v>3</v>
      </c>
      <c r="I181">
        <v>7600</v>
      </c>
      <c r="J181">
        <v>0.1</v>
      </c>
      <c r="K181">
        <v>20520</v>
      </c>
      <c r="L181" t="s">
        <v>72</v>
      </c>
    </row>
    <row r="182" spans="1:12">
      <c r="A182" t="s">
        <v>394</v>
      </c>
      <c r="B182" t="s">
        <v>395</v>
      </c>
      <c r="C182" s="1">
        <v>46094</v>
      </c>
      <c r="D182" t="s">
        <v>130</v>
      </c>
      <c r="E182" t="s">
        <v>22</v>
      </c>
      <c r="F182" t="s">
        <v>16</v>
      </c>
      <c r="G182" t="s">
        <v>17</v>
      </c>
      <c r="H182">
        <v>1</v>
      </c>
      <c r="I182">
        <v>5900</v>
      </c>
      <c r="J182">
        <v>0.1</v>
      </c>
      <c r="K182">
        <v>5310</v>
      </c>
      <c r="L182" t="s">
        <v>123</v>
      </c>
    </row>
    <row r="183" spans="1:12">
      <c r="A183" t="s">
        <v>396</v>
      </c>
      <c r="B183" t="s">
        <v>397</v>
      </c>
      <c r="C183" s="1">
        <v>46223</v>
      </c>
      <c r="D183" t="s">
        <v>50</v>
      </c>
      <c r="E183" t="s">
        <v>28</v>
      </c>
      <c r="F183" t="s">
        <v>16</v>
      </c>
      <c r="G183" t="s">
        <v>17</v>
      </c>
      <c r="H183">
        <v>4</v>
      </c>
      <c r="I183">
        <v>6200</v>
      </c>
      <c r="J183">
        <v>0.1</v>
      </c>
      <c r="K183">
        <v>22320</v>
      </c>
      <c r="L183" t="s">
        <v>35</v>
      </c>
    </row>
    <row r="184" spans="1:12">
      <c r="A184" t="s">
        <v>398</v>
      </c>
      <c r="B184" t="s">
        <v>190</v>
      </c>
      <c r="C184" s="1">
        <v>46250</v>
      </c>
      <c r="D184" t="s">
        <v>100</v>
      </c>
      <c r="E184" t="s">
        <v>28</v>
      </c>
      <c r="F184" t="s">
        <v>34</v>
      </c>
      <c r="G184" t="s">
        <v>17</v>
      </c>
      <c r="H184">
        <v>1</v>
      </c>
      <c r="I184">
        <v>4200</v>
      </c>
      <c r="J184">
        <v>0</v>
      </c>
      <c r="K184">
        <v>4200</v>
      </c>
      <c r="L184" t="s">
        <v>72</v>
      </c>
    </row>
    <row r="185" spans="1:12">
      <c r="A185" t="s">
        <v>399</v>
      </c>
      <c r="B185" t="s">
        <v>400</v>
      </c>
      <c r="C185" s="1">
        <v>46068</v>
      </c>
      <c r="D185" t="s">
        <v>183</v>
      </c>
      <c r="E185" t="s">
        <v>15</v>
      </c>
      <c r="F185" t="s">
        <v>34</v>
      </c>
      <c r="G185" t="s">
        <v>17</v>
      </c>
      <c r="H185">
        <v>1</v>
      </c>
      <c r="I185">
        <v>9800</v>
      </c>
      <c r="J185">
        <v>0</v>
      </c>
      <c r="K185">
        <v>9800</v>
      </c>
      <c r="L185" t="s">
        <v>68</v>
      </c>
    </row>
    <row r="186" spans="1:12">
      <c r="A186" t="s">
        <v>401</v>
      </c>
      <c r="B186" t="s">
        <v>224</v>
      </c>
      <c r="C186" s="1">
        <v>46194</v>
      </c>
      <c r="D186" t="s">
        <v>27</v>
      </c>
      <c r="E186" t="s">
        <v>28</v>
      </c>
      <c r="F186" t="s">
        <v>16</v>
      </c>
      <c r="G186" t="s">
        <v>29</v>
      </c>
      <c r="H186">
        <v>2</v>
      </c>
      <c r="I186">
        <v>3500</v>
      </c>
      <c r="J186">
        <v>0.05</v>
      </c>
      <c r="K186">
        <v>6650</v>
      </c>
      <c r="L186" t="s">
        <v>72</v>
      </c>
    </row>
    <row r="187" spans="1:12">
      <c r="A187" t="s">
        <v>402</v>
      </c>
      <c r="B187" t="s">
        <v>26</v>
      </c>
      <c r="C187" s="1">
        <v>46285</v>
      </c>
      <c r="D187" t="s">
        <v>46</v>
      </c>
      <c r="E187" t="s">
        <v>47</v>
      </c>
      <c r="F187" t="s">
        <v>16</v>
      </c>
      <c r="G187" t="s">
        <v>17</v>
      </c>
      <c r="H187">
        <v>1</v>
      </c>
      <c r="I187">
        <v>9200</v>
      </c>
      <c r="J187">
        <v>0</v>
      </c>
      <c r="K187">
        <v>9200</v>
      </c>
      <c r="L187" t="s">
        <v>85</v>
      </c>
    </row>
    <row r="188" spans="1:12">
      <c r="A188" t="s">
        <v>403</v>
      </c>
      <c r="B188" t="s">
        <v>199</v>
      </c>
      <c r="C188" s="1">
        <v>46186</v>
      </c>
      <c r="D188" t="s">
        <v>88</v>
      </c>
      <c r="E188" t="s">
        <v>15</v>
      </c>
      <c r="F188" t="s">
        <v>34</v>
      </c>
      <c r="G188" t="s">
        <v>17</v>
      </c>
      <c r="H188">
        <v>2</v>
      </c>
      <c r="I188">
        <v>4800</v>
      </c>
      <c r="J188">
        <v>0.1</v>
      </c>
      <c r="K188">
        <v>8640</v>
      </c>
      <c r="L188" t="s">
        <v>35</v>
      </c>
    </row>
    <row r="189" spans="1:12">
      <c r="A189" t="s">
        <v>404</v>
      </c>
      <c r="B189" t="s">
        <v>405</v>
      </c>
      <c r="C189" s="1">
        <v>46173</v>
      </c>
      <c r="D189" t="s">
        <v>77</v>
      </c>
      <c r="E189" t="s">
        <v>54</v>
      </c>
      <c r="F189" t="s">
        <v>16</v>
      </c>
      <c r="G189" t="s">
        <v>29</v>
      </c>
      <c r="H189">
        <v>4</v>
      </c>
      <c r="I189">
        <v>7200</v>
      </c>
      <c r="J189">
        <v>0</v>
      </c>
      <c r="K189">
        <v>28800</v>
      </c>
      <c r="L189" t="s">
        <v>123</v>
      </c>
    </row>
    <row r="190" spans="1:12">
      <c r="A190" t="s">
        <v>406</v>
      </c>
      <c r="B190" t="s">
        <v>407</v>
      </c>
      <c r="C190" s="1">
        <v>46111</v>
      </c>
      <c r="D190" t="s">
        <v>53</v>
      </c>
      <c r="E190" t="s">
        <v>54</v>
      </c>
      <c r="F190" t="s">
        <v>16</v>
      </c>
      <c r="G190" t="s">
        <v>29</v>
      </c>
      <c r="H190">
        <v>1</v>
      </c>
      <c r="I190">
        <v>4500</v>
      </c>
      <c r="J190">
        <v>0</v>
      </c>
      <c r="K190">
        <v>4500</v>
      </c>
      <c r="L190" t="s">
        <v>68</v>
      </c>
    </row>
    <row r="191" spans="1:12">
      <c r="A191" t="s">
        <v>408</v>
      </c>
      <c r="B191" t="s">
        <v>409</v>
      </c>
      <c r="C191" s="1">
        <v>46196</v>
      </c>
      <c r="D191" t="s">
        <v>27</v>
      </c>
      <c r="E191" t="s">
        <v>28</v>
      </c>
      <c r="F191" t="s">
        <v>16</v>
      </c>
      <c r="G191" t="s">
        <v>23</v>
      </c>
      <c r="H191">
        <v>1</v>
      </c>
      <c r="I191">
        <v>3500</v>
      </c>
      <c r="J191">
        <v>0.1</v>
      </c>
      <c r="K191">
        <v>3150</v>
      </c>
      <c r="L191" t="s">
        <v>68</v>
      </c>
    </row>
    <row r="192" spans="1:12">
      <c r="A192" t="s">
        <v>410</v>
      </c>
      <c r="B192" t="s">
        <v>197</v>
      </c>
      <c r="C192" s="1">
        <v>46048</v>
      </c>
      <c r="D192" t="s">
        <v>27</v>
      </c>
      <c r="E192" t="s">
        <v>28</v>
      </c>
      <c r="F192" t="s">
        <v>34</v>
      </c>
      <c r="G192" t="s">
        <v>17</v>
      </c>
      <c r="H192">
        <v>3</v>
      </c>
      <c r="I192">
        <v>3500</v>
      </c>
      <c r="J192">
        <v>0</v>
      </c>
      <c r="K192">
        <v>10500</v>
      </c>
      <c r="L192" t="s">
        <v>61</v>
      </c>
    </row>
    <row r="193" spans="1:12">
      <c r="A193" t="s">
        <v>411</v>
      </c>
      <c r="B193" t="s">
        <v>412</v>
      </c>
      <c r="C193" s="1">
        <v>46199</v>
      </c>
      <c r="D193" t="s">
        <v>118</v>
      </c>
      <c r="E193" t="s">
        <v>47</v>
      </c>
      <c r="F193" t="s">
        <v>16</v>
      </c>
      <c r="G193" t="s">
        <v>17</v>
      </c>
      <c r="H193">
        <v>1</v>
      </c>
      <c r="I193">
        <v>4100</v>
      </c>
      <c r="J193">
        <v>0.1</v>
      </c>
      <c r="K193">
        <v>3690</v>
      </c>
      <c r="L193" t="s">
        <v>61</v>
      </c>
    </row>
    <row r="194" spans="1:12">
      <c r="A194" t="s">
        <v>413</v>
      </c>
      <c r="B194" t="s">
        <v>414</v>
      </c>
      <c r="C194" s="1">
        <v>46072</v>
      </c>
      <c r="D194" t="s">
        <v>50</v>
      </c>
      <c r="E194" t="s">
        <v>28</v>
      </c>
      <c r="F194" t="s">
        <v>16</v>
      </c>
      <c r="G194" t="s">
        <v>17</v>
      </c>
      <c r="H194">
        <v>1</v>
      </c>
      <c r="I194">
        <v>6200</v>
      </c>
      <c r="J194">
        <v>0</v>
      </c>
      <c r="K194">
        <v>6200</v>
      </c>
      <c r="L194" t="s">
        <v>142</v>
      </c>
    </row>
    <row r="195" spans="1:12">
      <c r="A195" t="s">
        <v>415</v>
      </c>
      <c r="B195" t="s">
        <v>416</v>
      </c>
      <c r="C195" s="1">
        <v>46233</v>
      </c>
      <c r="D195" t="s">
        <v>67</v>
      </c>
      <c r="E195" t="s">
        <v>54</v>
      </c>
      <c r="F195" t="s">
        <v>16</v>
      </c>
      <c r="G195" t="s">
        <v>29</v>
      </c>
      <c r="H195">
        <v>1</v>
      </c>
      <c r="I195">
        <v>2800</v>
      </c>
      <c r="J195">
        <v>0.05</v>
      </c>
      <c r="K195">
        <v>2660</v>
      </c>
      <c r="L195" t="s">
        <v>61</v>
      </c>
    </row>
    <row r="196" spans="1:12">
      <c r="A196" t="s">
        <v>417</v>
      </c>
      <c r="B196" t="s">
        <v>418</v>
      </c>
      <c r="C196" s="1">
        <v>46176</v>
      </c>
      <c r="D196" t="s">
        <v>41</v>
      </c>
      <c r="E196" t="s">
        <v>15</v>
      </c>
      <c r="F196" t="s">
        <v>16</v>
      </c>
      <c r="G196" t="s">
        <v>17</v>
      </c>
      <c r="H196">
        <v>3</v>
      </c>
      <c r="I196">
        <v>5400</v>
      </c>
      <c r="J196">
        <v>0.1</v>
      </c>
      <c r="K196">
        <v>14580</v>
      </c>
      <c r="L196" t="s">
        <v>30</v>
      </c>
    </row>
    <row r="197" spans="1:12">
      <c r="A197" t="s">
        <v>419</v>
      </c>
      <c r="B197" t="s">
        <v>420</v>
      </c>
      <c r="C197" s="1">
        <v>46060</v>
      </c>
      <c r="D197" t="s">
        <v>71</v>
      </c>
      <c r="E197" t="s">
        <v>47</v>
      </c>
      <c r="F197" t="s">
        <v>16</v>
      </c>
      <c r="G197" t="s">
        <v>17</v>
      </c>
      <c r="H197">
        <v>1</v>
      </c>
      <c r="I197">
        <v>5600</v>
      </c>
      <c r="J197">
        <v>0.1</v>
      </c>
      <c r="K197">
        <v>5040</v>
      </c>
      <c r="L197" t="s">
        <v>123</v>
      </c>
    </row>
    <row r="198" spans="1:12">
      <c r="A198" t="s">
        <v>421</v>
      </c>
      <c r="B198" t="s">
        <v>173</v>
      </c>
      <c r="C198" s="1">
        <v>46134</v>
      </c>
      <c r="D198" t="s">
        <v>21</v>
      </c>
      <c r="E198" t="s">
        <v>22</v>
      </c>
      <c r="F198" t="s">
        <v>16</v>
      </c>
      <c r="G198" t="s">
        <v>29</v>
      </c>
      <c r="H198">
        <v>3</v>
      </c>
      <c r="I198">
        <v>7600</v>
      </c>
      <c r="J198">
        <v>0.2</v>
      </c>
      <c r="K198">
        <v>18240</v>
      </c>
      <c r="L198" t="s">
        <v>64</v>
      </c>
    </row>
    <row r="199" spans="1:12">
      <c r="A199" t="s">
        <v>422</v>
      </c>
      <c r="B199" t="s">
        <v>352</v>
      </c>
      <c r="C199" s="1">
        <v>46188</v>
      </c>
      <c r="D199" t="s">
        <v>91</v>
      </c>
      <c r="E199" t="s">
        <v>22</v>
      </c>
      <c r="F199" t="s">
        <v>16</v>
      </c>
      <c r="G199" t="s">
        <v>17</v>
      </c>
      <c r="H199">
        <v>1</v>
      </c>
      <c r="I199">
        <v>11500</v>
      </c>
      <c r="J199">
        <v>0.1</v>
      </c>
      <c r="K199">
        <v>10350</v>
      </c>
      <c r="L199" t="s">
        <v>68</v>
      </c>
    </row>
    <row r="200" spans="1:12">
      <c r="A200" t="s">
        <v>423</v>
      </c>
      <c r="B200" t="s">
        <v>424</v>
      </c>
      <c r="C200" s="1">
        <v>46086</v>
      </c>
      <c r="D200" t="s">
        <v>41</v>
      </c>
      <c r="E200" t="s">
        <v>15</v>
      </c>
      <c r="F200" t="s">
        <v>16</v>
      </c>
      <c r="G200" t="s">
        <v>17</v>
      </c>
      <c r="H200">
        <v>1</v>
      </c>
      <c r="I200">
        <v>5400</v>
      </c>
      <c r="J200">
        <v>0.15</v>
      </c>
      <c r="K200">
        <v>4590</v>
      </c>
      <c r="L200" t="s">
        <v>142</v>
      </c>
    </row>
    <row r="201" spans="1:12">
      <c r="A201" t="s">
        <v>425</v>
      </c>
      <c r="B201" t="s">
        <v>137</v>
      </c>
      <c r="C201" s="1">
        <v>46048</v>
      </c>
      <c r="D201" t="s">
        <v>27</v>
      </c>
      <c r="E201" t="s">
        <v>28</v>
      </c>
      <c r="F201" t="s">
        <v>16</v>
      </c>
      <c r="G201" t="s">
        <v>29</v>
      </c>
      <c r="H201">
        <v>1</v>
      </c>
      <c r="I201">
        <v>3500</v>
      </c>
      <c r="J201">
        <v>0.1</v>
      </c>
      <c r="K201">
        <v>3150</v>
      </c>
      <c r="L201" t="s">
        <v>85</v>
      </c>
    </row>
    <row r="202" spans="1:12">
      <c r="A202" t="s">
        <v>426</v>
      </c>
      <c r="B202" t="s">
        <v>427</v>
      </c>
      <c r="C202" s="1">
        <v>46233</v>
      </c>
      <c r="D202" t="s">
        <v>100</v>
      </c>
      <c r="E202" t="s">
        <v>28</v>
      </c>
      <c r="F202" t="s">
        <v>16</v>
      </c>
      <c r="G202" t="s">
        <v>29</v>
      </c>
      <c r="H202">
        <v>3</v>
      </c>
      <c r="I202">
        <v>4200</v>
      </c>
      <c r="J202">
        <v>0.1</v>
      </c>
      <c r="K202">
        <v>11340</v>
      </c>
      <c r="L202" t="s">
        <v>35</v>
      </c>
    </row>
    <row r="203" spans="1:12">
      <c r="A203" t="s">
        <v>428</v>
      </c>
      <c r="B203" t="s">
        <v>429</v>
      </c>
      <c r="C203" s="1">
        <v>46072</v>
      </c>
      <c r="D203" t="s">
        <v>118</v>
      </c>
      <c r="E203" t="s">
        <v>47</v>
      </c>
      <c r="F203" t="s">
        <v>16</v>
      </c>
      <c r="G203" t="s">
        <v>17</v>
      </c>
      <c r="H203">
        <v>1</v>
      </c>
      <c r="I203">
        <v>4100</v>
      </c>
      <c r="J203">
        <v>0.05</v>
      </c>
      <c r="K203">
        <v>3895</v>
      </c>
      <c r="L203" t="s">
        <v>38</v>
      </c>
    </row>
    <row r="204" spans="1:12">
      <c r="A204" t="s">
        <v>430</v>
      </c>
      <c r="B204" t="s">
        <v>201</v>
      </c>
      <c r="C204" s="1">
        <v>46294</v>
      </c>
      <c r="D204" t="s">
        <v>100</v>
      </c>
      <c r="E204" t="s">
        <v>28</v>
      </c>
      <c r="F204" t="s">
        <v>34</v>
      </c>
      <c r="G204" t="s">
        <v>23</v>
      </c>
      <c r="H204">
        <v>1</v>
      </c>
      <c r="I204">
        <v>4200</v>
      </c>
      <c r="J204">
        <v>0</v>
      </c>
      <c r="K204">
        <v>4200</v>
      </c>
      <c r="L204" t="s">
        <v>113</v>
      </c>
    </row>
    <row r="205" spans="1:12">
      <c r="A205" t="s">
        <v>431</v>
      </c>
      <c r="B205" t="s">
        <v>432</v>
      </c>
      <c r="C205" s="1">
        <v>46124</v>
      </c>
      <c r="D205" t="s">
        <v>33</v>
      </c>
      <c r="E205" t="s">
        <v>28</v>
      </c>
      <c r="F205" t="s">
        <v>16</v>
      </c>
      <c r="G205" t="s">
        <v>17</v>
      </c>
      <c r="H205">
        <v>1</v>
      </c>
      <c r="I205">
        <v>8500</v>
      </c>
      <c r="J205">
        <v>0.15</v>
      </c>
      <c r="K205">
        <v>7225</v>
      </c>
      <c r="L205" t="s">
        <v>113</v>
      </c>
    </row>
    <row r="206" spans="1:12">
      <c r="A206" t="s">
        <v>433</v>
      </c>
      <c r="B206" t="s">
        <v>37</v>
      </c>
      <c r="C206" s="1">
        <v>46105</v>
      </c>
      <c r="D206" t="s">
        <v>60</v>
      </c>
      <c r="E206" t="s">
        <v>28</v>
      </c>
      <c r="F206" t="s">
        <v>34</v>
      </c>
      <c r="G206" t="s">
        <v>23</v>
      </c>
      <c r="H206">
        <v>1</v>
      </c>
      <c r="I206">
        <v>12800</v>
      </c>
      <c r="J206">
        <v>0.1</v>
      </c>
      <c r="K206">
        <v>11520</v>
      </c>
      <c r="L206" t="s">
        <v>18</v>
      </c>
    </row>
    <row r="207" spans="1:12">
      <c r="A207" t="s">
        <v>434</v>
      </c>
      <c r="B207" t="s">
        <v>391</v>
      </c>
      <c r="C207" s="1">
        <v>46293</v>
      </c>
      <c r="D207" t="s">
        <v>183</v>
      </c>
      <c r="E207" t="s">
        <v>15</v>
      </c>
      <c r="F207" t="s">
        <v>16</v>
      </c>
      <c r="G207" t="s">
        <v>29</v>
      </c>
      <c r="H207">
        <v>1</v>
      </c>
      <c r="I207">
        <v>9800</v>
      </c>
      <c r="J207">
        <v>0.1</v>
      </c>
      <c r="K207">
        <v>8820</v>
      </c>
      <c r="L207" t="s">
        <v>18</v>
      </c>
    </row>
    <row r="208" spans="1:12">
      <c r="A208" t="s">
        <v>435</v>
      </c>
      <c r="B208" t="s">
        <v>436</v>
      </c>
      <c r="C208" s="1">
        <v>46183</v>
      </c>
      <c r="D208" t="s">
        <v>183</v>
      </c>
      <c r="E208" t="s">
        <v>15</v>
      </c>
      <c r="F208" t="s">
        <v>16</v>
      </c>
      <c r="G208" t="s">
        <v>17</v>
      </c>
      <c r="H208">
        <v>2</v>
      </c>
      <c r="I208">
        <v>9800</v>
      </c>
      <c r="J208">
        <v>0</v>
      </c>
      <c r="K208">
        <v>19600</v>
      </c>
      <c r="L208" t="s">
        <v>61</v>
      </c>
    </row>
    <row r="209" spans="1:12">
      <c r="A209" t="s">
        <v>437</v>
      </c>
      <c r="B209" t="s">
        <v>438</v>
      </c>
      <c r="C209" s="1">
        <v>46177</v>
      </c>
      <c r="D209" t="s">
        <v>21</v>
      </c>
      <c r="E209" t="s">
        <v>22</v>
      </c>
      <c r="F209" t="s">
        <v>16</v>
      </c>
      <c r="G209" t="s">
        <v>17</v>
      </c>
      <c r="H209">
        <v>2</v>
      </c>
      <c r="I209">
        <v>7600</v>
      </c>
      <c r="J209">
        <v>0.05</v>
      </c>
      <c r="K209">
        <v>14440</v>
      </c>
      <c r="L209" t="s">
        <v>97</v>
      </c>
    </row>
    <row r="210" spans="1:12">
      <c r="A210" t="s">
        <v>439</v>
      </c>
      <c r="B210" t="s">
        <v>440</v>
      </c>
      <c r="C210" s="1">
        <v>46273</v>
      </c>
      <c r="D210" t="s">
        <v>53</v>
      </c>
      <c r="E210" t="s">
        <v>54</v>
      </c>
      <c r="F210" t="s">
        <v>16</v>
      </c>
      <c r="G210" t="s">
        <v>17</v>
      </c>
      <c r="H210">
        <v>2</v>
      </c>
      <c r="I210">
        <v>4500</v>
      </c>
      <c r="J210">
        <v>0.05</v>
      </c>
      <c r="K210">
        <v>8550</v>
      </c>
      <c r="L210" t="s">
        <v>113</v>
      </c>
    </row>
    <row r="211" spans="1:12">
      <c r="A211" t="s">
        <v>441</v>
      </c>
      <c r="B211" t="s">
        <v>412</v>
      </c>
      <c r="C211" s="1">
        <v>46110</v>
      </c>
      <c r="D211" t="s">
        <v>118</v>
      </c>
      <c r="E211" t="s">
        <v>47</v>
      </c>
      <c r="F211" t="s">
        <v>16</v>
      </c>
      <c r="G211" t="s">
        <v>23</v>
      </c>
      <c r="H211">
        <v>1</v>
      </c>
      <c r="I211">
        <v>4100</v>
      </c>
      <c r="J211">
        <v>0</v>
      </c>
      <c r="K211">
        <v>4100</v>
      </c>
      <c r="L211" t="s">
        <v>38</v>
      </c>
    </row>
    <row r="212" spans="1:12">
      <c r="A212" t="s">
        <v>442</v>
      </c>
      <c r="B212" t="s">
        <v>443</v>
      </c>
      <c r="C212" s="1">
        <v>46039</v>
      </c>
      <c r="D212" t="s">
        <v>103</v>
      </c>
      <c r="E212" t="s">
        <v>47</v>
      </c>
      <c r="F212" t="s">
        <v>34</v>
      </c>
      <c r="G212" t="s">
        <v>29</v>
      </c>
      <c r="H212">
        <v>1</v>
      </c>
      <c r="I212">
        <v>3800</v>
      </c>
      <c r="J212">
        <v>0</v>
      </c>
      <c r="K212">
        <v>3800</v>
      </c>
      <c r="L212" t="s">
        <v>97</v>
      </c>
    </row>
    <row r="213" spans="1:12">
      <c r="A213" t="s">
        <v>444</v>
      </c>
      <c r="B213" t="s">
        <v>445</v>
      </c>
      <c r="C213" s="1">
        <v>46138</v>
      </c>
      <c r="D213" t="s">
        <v>84</v>
      </c>
      <c r="E213" t="s">
        <v>22</v>
      </c>
      <c r="F213" t="s">
        <v>16</v>
      </c>
      <c r="G213" t="s">
        <v>17</v>
      </c>
      <c r="H213">
        <v>1</v>
      </c>
      <c r="I213">
        <v>8900</v>
      </c>
      <c r="J213">
        <v>0.05</v>
      </c>
      <c r="K213">
        <v>8455</v>
      </c>
      <c r="L213" t="s">
        <v>135</v>
      </c>
    </row>
    <row r="214" spans="1:12">
      <c r="A214" t="s">
        <v>446</v>
      </c>
      <c r="B214" t="s">
        <v>292</v>
      </c>
      <c r="C214" s="1">
        <v>46072</v>
      </c>
      <c r="D214" t="s">
        <v>71</v>
      </c>
      <c r="E214" t="s">
        <v>47</v>
      </c>
      <c r="F214" t="s">
        <v>16</v>
      </c>
      <c r="G214" t="s">
        <v>29</v>
      </c>
      <c r="H214">
        <v>3</v>
      </c>
      <c r="I214">
        <v>5600</v>
      </c>
      <c r="J214">
        <v>0.1</v>
      </c>
      <c r="K214">
        <v>15120</v>
      </c>
      <c r="L214" t="s">
        <v>135</v>
      </c>
    </row>
    <row r="215" spans="1:12">
      <c r="A215" t="s">
        <v>447</v>
      </c>
      <c r="B215" t="s">
        <v>448</v>
      </c>
      <c r="C215" s="1">
        <v>46110</v>
      </c>
      <c r="D215" t="s">
        <v>27</v>
      </c>
      <c r="E215" t="s">
        <v>28</v>
      </c>
      <c r="F215" t="s">
        <v>34</v>
      </c>
      <c r="G215" t="s">
        <v>17</v>
      </c>
      <c r="H215">
        <v>2</v>
      </c>
      <c r="I215">
        <v>3500</v>
      </c>
      <c r="J215">
        <v>0.05</v>
      </c>
      <c r="K215">
        <v>6650</v>
      </c>
      <c r="L215" t="s">
        <v>18</v>
      </c>
    </row>
    <row r="216" spans="1:12">
      <c r="A216" t="s">
        <v>449</v>
      </c>
      <c r="B216" t="s">
        <v>450</v>
      </c>
      <c r="C216" s="1">
        <v>46062</v>
      </c>
      <c r="D216" t="s">
        <v>60</v>
      </c>
      <c r="E216" t="s">
        <v>28</v>
      </c>
      <c r="F216" t="s">
        <v>34</v>
      </c>
      <c r="G216" t="s">
        <v>29</v>
      </c>
      <c r="H216">
        <v>4</v>
      </c>
      <c r="I216">
        <v>12800</v>
      </c>
      <c r="J216">
        <v>0.1</v>
      </c>
      <c r="K216">
        <v>46080</v>
      </c>
      <c r="L216" t="s">
        <v>64</v>
      </c>
    </row>
    <row r="217" spans="1:12">
      <c r="A217" t="s">
        <v>451</v>
      </c>
      <c r="B217" t="s">
        <v>56</v>
      </c>
      <c r="C217" s="1">
        <v>46171</v>
      </c>
      <c r="D217" t="s">
        <v>88</v>
      </c>
      <c r="E217" t="s">
        <v>15</v>
      </c>
      <c r="F217" t="s">
        <v>16</v>
      </c>
      <c r="G217" t="s">
        <v>17</v>
      </c>
      <c r="H217">
        <v>1</v>
      </c>
      <c r="I217">
        <v>4800</v>
      </c>
      <c r="J217">
        <v>0</v>
      </c>
      <c r="K217">
        <v>4800</v>
      </c>
      <c r="L217" t="s">
        <v>64</v>
      </c>
    </row>
    <row r="218" spans="1:12">
      <c r="A218" t="s">
        <v>452</v>
      </c>
      <c r="B218" t="s">
        <v>453</v>
      </c>
      <c r="C218" s="1">
        <v>46126</v>
      </c>
      <c r="D218" t="s">
        <v>14</v>
      </c>
      <c r="E218" t="s">
        <v>15</v>
      </c>
      <c r="F218" t="s">
        <v>34</v>
      </c>
      <c r="G218" t="s">
        <v>17</v>
      </c>
      <c r="H218">
        <v>2</v>
      </c>
      <c r="I218">
        <v>7600</v>
      </c>
      <c r="J218">
        <v>0.15</v>
      </c>
      <c r="K218">
        <v>12920</v>
      </c>
      <c r="L218" t="s">
        <v>97</v>
      </c>
    </row>
    <row r="219" spans="1:12">
      <c r="A219" t="s">
        <v>454</v>
      </c>
      <c r="B219" t="s">
        <v>455</v>
      </c>
      <c r="C219" s="1">
        <v>46129</v>
      </c>
      <c r="D219" t="s">
        <v>67</v>
      </c>
      <c r="E219" t="s">
        <v>54</v>
      </c>
      <c r="F219" t="s">
        <v>16</v>
      </c>
      <c r="G219" t="s">
        <v>29</v>
      </c>
      <c r="H219">
        <v>3</v>
      </c>
      <c r="I219">
        <v>2800</v>
      </c>
      <c r="J219">
        <v>0.05</v>
      </c>
      <c r="K219">
        <v>7980</v>
      </c>
      <c r="L219" t="s">
        <v>38</v>
      </c>
    </row>
    <row r="220" spans="1:12">
      <c r="A220" t="s">
        <v>456</v>
      </c>
      <c r="B220" t="s">
        <v>457</v>
      </c>
      <c r="C220" s="1">
        <v>46087</v>
      </c>
      <c r="D220" t="s">
        <v>115</v>
      </c>
      <c r="E220" t="s">
        <v>54</v>
      </c>
      <c r="F220" t="s">
        <v>16</v>
      </c>
      <c r="G220" t="s">
        <v>17</v>
      </c>
      <c r="H220">
        <v>1</v>
      </c>
      <c r="I220">
        <v>6800</v>
      </c>
      <c r="J220">
        <v>0</v>
      </c>
      <c r="K220">
        <v>6800</v>
      </c>
      <c r="L220" t="s">
        <v>64</v>
      </c>
    </row>
    <row r="221" spans="1:12">
      <c r="A221" t="s">
        <v>458</v>
      </c>
      <c r="B221" t="s">
        <v>459</v>
      </c>
      <c r="C221" s="1">
        <v>46075</v>
      </c>
      <c r="D221" t="s">
        <v>33</v>
      </c>
      <c r="E221" t="s">
        <v>28</v>
      </c>
      <c r="F221" t="s">
        <v>34</v>
      </c>
      <c r="G221" t="s">
        <v>17</v>
      </c>
      <c r="H221">
        <v>1</v>
      </c>
      <c r="I221">
        <v>8500</v>
      </c>
      <c r="J221">
        <v>0.05</v>
      </c>
      <c r="K221">
        <v>8075</v>
      </c>
      <c r="L221" t="s">
        <v>61</v>
      </c>
    </row>
    <row r="222" spans="1:12">
      <c r="A222" t="s">
        <v>460</v>
      </c>
      <c r="B222" t="s">
        <v>461</v>
      </c>
      <c r="C222" s="1">
        <v>46037</v>
      </c>
      <c r="D222" t="s">
        <v>27</v>
      </c>
      <c r="E222" t="s">
        <v>28</v>
      </c>
      <c r="F222" t="s">
        <v>16</v>
      </c>
      <c r="G222" t="s">
        <v>23</v>
      </c>
      <c r="H222">
        <v>1</v>
      </c>
      <c r="I222">
        <v>3500</v>
      </c>
      <c r="J222">
        <v>0.05</v>
      </c>
      <c r="K222">
        <v>3325</v>
      </c>
      <c r="L222" t="s">
        <v>135</v>
      </c>
    </row>
    <row r="223" spans="1:12">
      <c r="A223" t="s">
        <v>462</v>
      </c>
      <c r="B223" t="s">
        <v>188</v>
      </c>
      <c r="C223" s="1">
        <v>46180</v>
      </c>
      <c r="D223" t="s">
        <v>33</v>
      </c>
      <c r="E223" t="s">
        <v>28</v>
      </c>
      <c r="F223" t="s">
        <v>16</v>
      </c>
      <c r="G223" t="s">
        <v>29</v>
      </c>
      <c r="H223">
        <v>1</v>
      </c>
      <c r="I223">
        <v>8500</v>
      </c>
      <c r="J223">
        <v>0.1</v>
      </c>
      <c r="K223">
        <v>7650</v>
      </c>
      <c r="L223" t="s">
        <v>24</v>
      </c>
    </row>
    <row r="224" spans="1:12">
      <c r="A224" t="s">
        <v>463</v>
      </c>
      <c r="B224" t="s">
        <v>464</v>
      </c>
      <c r="C224" s="1">
        <v>46213</v>
      </c>
      <c r="D224" t="s">
        <v>112</v>
      </c>
      <c r="E224" t="s">
        <v>15</v>
      </c>
      <c r="F224" t="s">
        <v>34</v>
      </c>
      <c r="G224" t="s">
        <v>29</v>
      </c>
      <c r="H224">
        <v>1</v>
      </c>
      <c r="I224">
        <v>3200</v>
      </c>
      <c r="J224">
        <v>0.1</v>
      </c>
      <c r="K224">
        <v>2880</v>
      </c>
      <c r="L224" t="s">
        <v>97</v>
      </c>
    </row>
    <row r="225" spans="1:12">
      <c r="A225" t="s">
        <v>465</v>
      </c>
      <c r="B225" t="s">
        <v>129</v>
      </c>
      <c r="C225" s="1">
        <v>46291</v>
      </c>
      <c r="D225" t="s">
        <v>389</v>
      </c>
      <c r="E225" t="s">
        <v>47</v>
      </c>
      <c r="F225" t="s">
        <v>16</v>
      </c>
      <c r="G225" t="s">
        <v>17</v>
      </c>
      <c r="H225">
        <v>3</v>
      </c>
      <c r="I225">
        <v>7400</v>
      </c>
      <c r="J225">
        <v>0.1</v>
      </c>
      <c r="K225">
        <v>19980</v>
      </c>
      <c r="L225" t="s">
        <v>30</v>
      </c>
    </row>
    <row r="226" spans="1:12">
      <c r="A226" t="s">
        <v>466</v>
      </c>
      <c r="B226" t="s">
        <v>379</v>
      </c>
      <c r="C226" s="1">
        <v>46061</v>
      </c>
      <c r="D226" t="s">
        <v>53</v>
      </c>
      <c r="E226" t="s">
        <v>54</v>
      </c>
      <c r="F226" t="s">
        <v>16</v>
      </c>
      <c r="G226" t="s">
        <v>23</v>
      </c>
      <c r="H226">
        <v>1</v>
      </c>
      <c r="I226">
        <v>4500</v>
      </c>
      <c r="J226">
        <v>0.05</v>
      </c>
      <c r="K226">
        <v>4275</v>
      </c>
      <c r="L226" t="s">
        <v>142</v>
      </c>
    </row>
    <row r="227" spans="1:12">
      <c r="A227" t="s">
        <v>467</v>
      </c>
      <c r="B227" t="s">
        <v>468</v>
      </c>
      <c r="C227" s="1">
        <v>46034</v>
      </c>
      <c r="D227" t="s">
        <v>100</v>
      </c>
      <c r="E227" t="s">
        <v>28</v>
      </c>
      <c r="F227" t="s">
        <v>34</v>
      </c>
      <c r="G227" t="s">
        <v>29</v>
      </c>
      <c r="H227">
        <v>3</v>
      </c>
      <c r="I227">
        <v>4200</v>
      </c>
      <c r="J227">
        <v>0.1</v>
      </c>
      <c r="K227">
        <v>11340</v>
      </c>
      <c r="L227" t="s">
        <v>64</v>
      </c>
    </row>
    <row r="228" spans="1:12">
      <c r="A228" t="s">
        <v>469</v>
      </c>
      <c r="B228" t="s">
        <v>470</v>
      </c>
      <c r="C228" s="1">
        <v>46206</v>
      </c>
      <c r="D228" t="s">
        <v>130</v>
      </c>
      <c r="E228" t="s">
        <v>22</v>
      </c>
      <c r="F228" t="s">
        <v>16</v>
      </c>
      <c r="G228" t="s">
        <v>29</v>
      </c>
      <c r="H228">
        <v>1</v>
      </c>
      <c r="I228">
        <v>5900</v>
      </c>
      <c r="J228">
        <v>0.05</v>
      </c>
      <c r="K228">
        <v>5605</v>
      </c>
      <c r="L228" t="s">
        <v>61</v>
      </c>
    </row>
    <row r="229" spans="1:12">
      <c r="A229" t="s">
        <v>471</v>
      </c>
      <c r="B229" t="s">
        <v>472</v>
      </c>
      <c r="C229" s="1">
        <v>46228</v>
      </c>
      <c r="D229" t="s">
        <v>77</v>
      </c>
      <c r="E229" t="s">
        <v>54</v>
      </c>
      <c r="F229" t="s">
        <v>34</v>
      </c>
      <c r="G229" t="s">
        <v>29</v>
      </c>
      <c r="H229">
        <v>1</v>
      </c>
      <c r="I229">
        <v>7200</v>
      </c>
      <c r="J229">
        <v>0.1</v>
      </c>
      <c r="K229">
        <v>6480</v>
      </c>
      <c r="L229" t="s">
        <v>135</v>
      </c>
    </row>
    <row r="230" spans="1:12">
      <c r="A230" t="s">
        <v>473</v>
      </c>
      <c r="B230" t="s">
        <v>474</v>
      </c>
      <c r="C230" s="1">
        <v>46228</v>
      </c>
      <c r="D230" t="s">
        <v>46</v>
      </c>
      <c r="E230" t="s">
        <v>47</v>
      </c>
      <c r="F230" t="s">
        <v>34</v>
      </c>
      <c r="G230" t="s">
        <v>17</v>
      </c>
      <c r="H230">
        <v>2</v>
      </c>
      <c r="I230">
        <v>9200</v>
      </c>
      <c r="J230">
        <v>0.05</v>
      </c>
      <c r="K230">
        <v>17480</v>
      </c>
      <c r="L230" t="s">
        <v>123</v>
      </c>
    </row>
    <row r="231" spans="1:12">
      <c r="A231" t="s">
        <v>475</v>
      </c>
      <c r="B231" t="s">
        <v>476</v>
      </c>
      <c r="C231" s="1">
        <v>46245</v>
      </c>
      <c r="D231" t="s">
        <v>14</v>
      </c>
      <c r="E231" t="s">
        <v>15</v>
      </c>
      <c r="F231" t="s">
        <v>34</v>
      </c>
      <c r="G231" t="s">
        <v>17</v>
      </c>
      <c r="H231">
        <v>1</v>
      </c>
      <c r="I231">
        <v>7600</v>
      </c>
      <c r="J231">
        <v>0</v>
      </c>
      <c r="K231">
        <v>7600</v>
      </c>
      <c r="L231" t="s">
        <v>123</v>
      </c>
    </row>
    <row r="232" spans="1:12">
      <c r="A232" t="s">
        <v>477</v>
      </c>
      <c r="B232" t="s">
        <v>107</v>
      </c>
      <c r="C232" s="1">
        <v>46162</v>
      </c>
      <c r="D232" t="s">
        <v>41</v>
      </c>
      <c r="E232" t="s">
        <v>15</v>
      </c>
      <c r="F232" t="s">
        <v>16</v>
      </c>
      <c r="G232" t="s">
        <v>23</v>
      </c>
      <c r="H232">
        <v>1</v>
      </c>
      <c r="I232">
        <v>5400</v>
      </c>
      <c r="J232">
        <v>0.05</v>
      </c>
      <c r="K232">
        <v>5130</v>
      </c>
      <c r="L232" t="s">
        <v>72</v>
      </c>
    </row>
    <row r="233" spans="1:12">
      <c r="A233" t="s">
        <v>478</v>
      </c>
      <c r="B233" t="s">
        <v>479</v>
      </c>
      <c r="C233" s="1">
        <v>46237</v>
      </c>
      <c r="D233" t="s">
        <v>46</v>
      </c>
      <c r="E233" t="s">
        <v>47</v>
      </c>
      <c r="F233" t="s">
        <v>16</v>
      </c>
      <c r="G233" t="s">
        <v>29</v>
      </c>
      <c r="H233">
        <v>1</v>
      </c>
      <c r="I233">
        <v>9200</v>
      </c>
      <c r="J233">
        <v>0</v>
      </c>
      <c r="K233">
        <v>9200</v>
      </c>
      <c r="L233" t="s">
        <v>85</v>
      </c>
    </row>
    <row r="234" spans="1:12">
      <c r="A234" t="s">
        <v>480</v>
      </c>
      <c r="B234" t="s">
        <v>481</v>
      </c>
      <c r="C234" s="1">
        <v>46272</v>
      </c>
      <c r="D234" t="s">
        <v>33</v>
      </c>
      <c r="E234" t="s">
        <v>28</v>
      </c>
      <c r="F234" t="s">
        <v>16</v>
      </c>
      <c r="G234" t="s">
        <v>29</v>
      </c>
      <c r="H234">
        <v>2</v>
      </c>
      <c r="I234">
        <v>8500</v>
      </c>
      <c r="J234">
        <v>0</v>
      </c>
      <c r="K234">
        <v>17000</v>
      </c>
      <c r="L234" t="s">
        <v>135</v>
      </c>
    </row>
    <row r="235" spans="1:12">
      <c r="A235" t="s">
        <v>482</v>
      </c>
      <c r="B235" t="s">
        <v>148</v>
      </c>
      <c r="C235" s="1">
        <v>46035</v>
      </c>
      <c r="D235" t="s">
        <v>27</v>
      </c>
      <c r="E235" t="s">
        <v>28</v>
      </c>
      <c r="F235" t="s">
        <v>34</v>
      </c>
      <c r="G235" t="s">
        <v>29</v>
      </c>
      <c r="H235">
        <v>1</v>
      </c>
      <c r="I235">
        <v>3500</v>
      </c>
      <c r="J235">
        <v>0.1</v>
      </c>
      <c r="K235">
        <v>3150</v>
      </c>
      <c r="L235" t="s">
        <v>142</v>
      </c>
    </row>
    <row r="236" spans="1:12">
      <c r="A236" t="s">
        <v>483</v>
      </c>
      <c r="B236" t="s">
        <v>484</v>
      </c>
      <c r="C236" s="1">
        <v>46154</v>
      </c>
      <c r="D236" t="s">
        <v>27</v>
      </c>
      <c r="E236" t="s">
        <v>28</v>
      </c>
      <c r="F236" t="s">
        <v>34</v>
      </c>
      <c r="G236" t="s">
        <v>23</v>
      </c>
      <c r="H236">
        <v>1</v>
      </c>
      <c r="I236">
        <v>3500</v>
      </c>
      <c r="J236">
        <v>0</v>
      </c>
      <c r="K236">
        <v>3500</v>
      </c>
      <c r="L236" t="s">
        <v>68</v>
      </c>
    </row>
    <row r="237" spans="1:12">
      <c r="A237" t="s">
        <v>485</v>
      </c>
      <c r="B237" t="s">
        <v>486</v>
      </c>
      <c r="C237" s="1">
        <v>46126</v>
      </c>
      <c r="D237" t="s">
        <v>53</v>
      </c>
      <c r="E237" t="s">
        <v>54</v>
      </c>
      <c r="F237" t="s">
        <v>16</v>
      </c>
      <c r="G237" t="s">
        <v>17</v>
      </c>
      <c r="H237">
        <v>3</v>
      </c>
      <c r="I237">
        <v>4500</v>
      </c>
      <c r="J237">
        <v>0.05</v>
      </c>
      <c r="K237">
        <v>12825</v>
      </c>
      <c r="L237" t="s">
        <v>97</v>
      </c>
    </row>
    <row r="238" spans="1:12">
      <c r="A238" t="s">
        <v>487</v>
      </c>
      <c r="B238" t="s">
        <v>488</v>
      </c>
      <c r="C238" s="1">
        <v>46249</v>
      </c>
      <c r="D238" t="s">
        <v>100</v>
      </c>
      <c r="E238" t="s">
        <v>28</v>
      </c>
      <c r="F238" t="s">
        <v>34</v>
      </c>
      <c r="G238" t="s">
        <v>23</v>
      </c>
      <c r="H238">
        <v>2</v>
      </c>
      <c r="I238">
        <v>4200</v>
      </c>
      <c r="J238">
        <v>0.1</v>
      </c>
      <c r="K238">
        <v>7560</v>
      </c>
      <c r="L238" t="s">
        <v>64</v>
      </c>
    </row>
    <row r="239" spans="1:12">
      <c r="A239" t="s">
        <v>489</v>
      </c>
      <c r="B239" t="s">
        <v>474</v>
      </c>
      <c r="C239" s="1">
        <v>46033</v>
      </c>
      <c r="D239" t="s">
        <v>100</v>
      </c>
      <c r="E239" t="s">
        <v>28</v>
      </c>
      <c r="F239" t="s">
        <v>34</v>
      </c>
      <c r="G239" t="s">
        <v>17</v>
      </c>
      <c r="H239">
        <v>1</v>
      </c>
      <c r="I239">
        <v>4200</v>
      </c>
      <c r="J239">
        <v>0.1</v>
      </c>
      <c r="K239">
        <v>3780</v>
      </c>
      <c r="L239" t="s">
        <v>123</v>
      </c>
    </row>
    <row r="240" spans="1:12">
      <c r="A240" t="s">
        <v>490</v>
      </c>
      <c r="B240" t="s">
        <v>491</v>
      </c>
      <c r="C240" s="1">
        <v>46132</v>
      </c>
      <c r="D240" t="s">
        <v>103</v>
      </c>
      <c r="E240" t="s">
        <v>47</v>
      </c>
      <c r="F240" t="s">
        <v>34</v>
      </c>
      <c r="G240" t="s">
        <v>17</v>
      </c>
      <c r="H240">
        <v>1</v>
      </c>
      <c r="I240">
        <v>3800</v>
      </c>
      <c r="J240">
        <v>0.05</v>
      </c>
      <c r="K240">
        <v>3610</v>
      </c>
      <c r="L240" t="s">
        <v>18</v>
      </c>
    </row>
    <row r="241" spans="1:12">
      <c r="A241" t="s">
        <v>492</v>
      </c>
      <c r="B241" t="s">
        <v>348</v>
      </c>
      <c r="C241" s="1">
        <v>46288</v>
      </c>
      <c r="D241" t="s">
        <v>112</v>
      </c>
      <c r="E241" t="s">
        <v>15</v>
      </c>
      <c r="F241" t="s">
        <v>34</v>
      </c>
      <c r="G241" t="s">
        <v>29</v>
      </c>
      <c r="H241">
        <v>1</v>
      </c>
      <c r="I241">
        <v>3200</v>
      </c>
      <c r="J241">
        <v>0.1</v>
      </c>
      <c r="K241">
        <v>2880</v>
      </c>
      <c r="L241" t="s">
        <v>142</v>
      </c>
    </row>
    <row r="242" spans="1:12">
      <c r="A242" t="s">
        <v>493</v>
      </c>
      <c r="B242" t="s">
        <v>494</v>
      </c>
      <c r="C242" s="1">
        <v>46268</v>
      </c>
      <c r="D242" t="s">
        <v>27</v>
      </c>
      <c r="E242" t="s">
        <v>28</v>
      </c>
      <c r="F242" t="s">
        <v>16</v>
      </c>
      <c r="G242" t="s">
        <v>29</v>
      </c>
      <c r="H242">
        <v>1</v>
      </c>
      <c r="I242">
        <v>3500</v>
      </c>
      <c r="J242">
        <v>0.1</v>
      </c>
      <c r="K242">
        <v>3150</v>
      </c>
      <c r="L242" t="s">
        <v>97</v>
      </c>
    </row>
    <row r="243" spans="1:12">
      <c r="A243" t="s">
        <v>495</v>
      </c>
      <c r="B243" t="s">
        <v>496</v>
      </c>
      <c r="C243" s="1">
        <v>46126</v>
      </c>
      <c r="D243" t="s">
        <v>53</v>
      </c>
      <c r="E243" t="s">
        <v>54</v>
      </c>
      <c r="F243" t="s">
        <v>34</v>
      </c>
      <c r="G243" t="s">
        <v>23</v>
      </c>
      <c r="H243">
        <v>1</v>
      </c>
      <c r="I243">
        <v>4500</v>
      </c>
      <c r="J243">
        <v>0.05</v>
      </c>
      <c r="K243">
        <v>4275</v>
      </c>
      <c r="L243" t="s">
        <v>97</v>
      </c>
    </row>
    <row r="244" spans="1:12">
      <c r="A244" t="s">
        <v>497</v>
      </c>
      <c r="B244" t="s">
        <v>400</v>
      </c>
      <c r="C244" s="1">
        <v>46151</v>
      </c>
      <c r="D244" t="s">
        <v>27</v>
      </c>
      <c r="E244" t="s">
        <v>28</v>
      </c>
      <c r="F244" t="s">
        <v>34</v>
      </c>
      <c r="G244" t="s">
        <v>17</v>
      </c>
      <c r="H244">
        <v>1</v>
      </c>
      <c r="I244">
        <v>3500</v>
      </c>
      <c r="J244">
        <v>0</v>
      </c>
      <c r="K244">
        <v>3500</v>
      </c>
      <c r="L244" t="s">
        <v>85</v>
      </c>
    </row>
    <row r="245" spans="1:12">
      <c r="A245" t="s">
        <v>498</v>
      </c>
      <c r="B245" t="s">
        <v>499</v>
      </c>
      <c r="C245" s="1">
        <v>46040</v>
      </c>
      <c r="D245" t="s">
        <v>77</v>
      </c>
      <c r="E245" t="s">
        <v>54</v>
      </c>
      <c r="F245" t="s">
        <v>34</v>
      </c>
      <c r="G245" t="s">
        <v>17</v>
      </c>
      <c r="H245">
        <v>2</v>
      </c>
      <c r="I245">
        <v>7200</v>
      </c>
      <c r="J245">
        <v>0.05</v>
      </c>
      <c r="K245">
        <v>13680</v>
      </c>
      <c r="L245" t="s">
        <v>64</v>
      </c>
    </row>
    <row r="246" spans="1:12">
      <c r="A246" t="s">
        <v>500</v>
      </c>
      <c r="B246" t="s">
        <v>501</v>
      </c>
      <c r="C246" s="1">
        <v>46072</v>
      </c>
      <c r="D246" t="s">
        <v>389</v>
      </c>
      <c r="E246" t="s">
        <v>47</v>
      </c>
      <c r="F246" t="s">
        <v>16</v>
      </c>
      <c r="G246" t="s">
        <v>29</v>
      </c>
      <c r="H246">
        <v>2</v>
      </c>
      <c r="I246">
        <v>7400</v>
      </c>
      <c r="J246">
        <v>0</v>
      </c>
      <c r="K246">
        <v>14800</v>
      </c>
      <c r="L246" t="s">
        <v>72</v>
      </c>
    </row>
    <row r="247" spans="1:12">
      <c r="A247" t="s">
        <v>502</v>
      </c>
      <c r="B247" t="s">
        <v>215</v>
      </c>
      <c r="C247" s="1">
        <v>46110</v>
      </c>
      <c r="D247" t="s">
        <v>27</v>
      </c>
      <c r="E247" t="s">
        <v>28</v>
      </c>
      <c r="F247" t="s">
        <v>16</v>
      </c>
      <c r="G247" t="s">
        <v>29</v>
      </c>
      <c r="H247">
        <v>3</v>
      </c>
      <c r="I247">
        <v>3500</v>
      </c>
      <c r="J247">
        <v>0.05</v>
      </c>
      <c r="K247">
        <v>9975</v>
      </c>
      <c r="L247" t="s">
        <v>85</v>
      </c>
    </row>
    <row r="248" spans="1:12">
      <c r="A248" t="s">
        <v>503</v>
      </c>
      <c r="B248" t="s">
        <v>504</v>
      </c>
      <c r="C248" s="1">
        <v>46279</v>
      </c>
      <c r="D248" t="s">
        <v>27</v>
      </c>
      <c r="E248" t="s">
        <v>28</v>
      </c>
      <c r="F248" t="s">
        <v>34</v>
      </c>
      <c r="G248" t="s">
        <v>23</v>
      </c>
      <c r="H248">
        <v>4</v>
      </c>
      <c r="I248">
        <v>3500</v>
      </c>
      <c r="J248">
        <v>0.05</v>
      </c>
      <c r="K248">
        <v>13300</v>
      </c>
      <c r="L248" t="s">
        <v>72</v>
      </c>
    </row>
    <row r="249" spans="1:12">
      <c r="A249" t="s">
        <v>505</v>
      </c>
      <c r="B249" t="s">
        <v>307</v>
      </c>
      <c r="C249" s="1">
        <v>46034</v>
      </c>
      <c r="D249" t="s">
        <v>14</v>
      </c>
      <c r="E249" t="s">
        <v>15</v>
      </c>
      <c r="F249" t="s">
        <v>16</v>
      </c>
      <c r="G249" t="s">
        <v>23</v>
      </c>
      <c r="H249">
        <v>1</v>
      </c>
      <c r="I249">
        <v>7600</v>
      </c>
      <c r="J249">
        <v>0.1</v>
      </c>
      <c r="K249">
        <v>6840</v>
      </c>
      <c r="L249" t="s">
        <v>113</v>
      </c>
    </row>
    <row r="250" spans="1:12">
      <c r="A250" t="s">
        <v>506</v>
      </c>
      <c r="B250" t="s">
        <v>201</v>
      </c>
      <c r="C250" s="1">
        <v>46280</v>
      </c>
      <c r="D250" t="s">
        <v>183</v>
      </c>
      <c r="E250" t="s">
        <v>15</v>
      </c>
      <c r="F250" t="s">
        <v>34</v>
      </c>
      <c r="G250" t="s">
        <v>17</v>
      </c>
      <c r="H250">
        <v>2</v>
      </c>
      <c r="I250">
        <v>9800</v>
      </c>
      <c r="J250">
        <v>0.05</v>
      </c>
      <c r="K250">
        <v>18620</v>
      </c>
      <c r="L250" t="s">
        <v>64</v>
      </c>
    </row>
    <row r="251" spans="1:12">
      <c r="A251" t="s">
        <v>507</v>
      </c>
      <c r="B251" t="s">
        <v>508</v>
      </c>
      <c r="C251" s="1">
        <v>46060</v>
      </c>
      <c r="D251" t="s">
        <v>96</v>
      </c>
      <c r="E251" t="s">
        <v>22</v>
      </c>
      <c r="F251" t="s">
        <v>34</v>
      </c>
      <c r="G251" t="s">
        <v>17</v>
      </c>
      <c r="H251">
        <v>2</v>
      </c>
      <c r="I251">
        <v>3200</v>
      </c>
      <c r="J251">
        <v>0</v>
      </c>
      <c r="K251">
        <v>6400</v>
      </c>
      <c r="L251" t="s">
        <v>135</v>
      </c>
    </row>
    <row r="252" spans="1:12">
      <c r="A252" t="s">
        <v>509</v>
      </c>
      <c r="B252" t="s">
        <v>510</v>
      </c>
      <c r="C252" s="1">
        <v>46237</v>
      </c>
      <c r="D252" t="s">
        <v>115</v>
      </c>
      <c r="E252" t="s">
        <v>54</v>
      </c>
      <c r="F252" t="s">
        <v>16</v>
      </c>
      <c r="G252" t="s">
        <v>17</v>
      </c>
      <c r="H252">
        <v>1</v>
      </c>
      <c r="I252">
        <v>6800</v>
      </c>
      <c r="J252">
        <v>0.1</v>
      </c>
      <c r="K252">
        <v>6120</v>
      </c>
      <c r="L252" t="s">
        <v>72</v>
      </c>
    </row>
    <row r="253" spans="1:12">
      <c r="A253" t="s">
        <v>511</v>
      </c>
      <c r="B253" t="s">
        <v>218</v>
      </c>
      <c r="C253" s="1">
        <v>46265</v>
      </c>
      <c r="D253" t="s">
        <v>50</v>
      </c>
      <c r="E253" t="s">
        <v>28</v>
      </c>
      <c r="F253" t="s">
        <v>34</v>
      </c>
      <c r="G253" t="s">
        <v>17</v>
      </c>
      <c r="H253">
        <v>1</v>
      </c>
      <c r="I253">
        <v>6200</v>
      </c>
      <c r="J253">
        <v>0.1</v>
      </c>
      <c r="K253">
        <v>5580</v>
      </c>
      <c r="L253" t="s">
        <v>142</v>
      </c>
    </row>
    <row r="254" spans="1:12">
      <c r="A254" t="s">
        <v>512</v>
      </c>
      <c r="B254" t="s">
        <v>26</v>
      </c>
      <c r="C254" s="1">
        <v>46116</v>
      </c>
      <c r="D254" t="s">
        <v>46</v>
      </c>
      <c r="E254" t="s">
        <v>47</v>
      </c>
      <c r="F254" t="s">
        <v>16</v>
      </c>
      <c r="G254" t="s">
        <v>29</v>
      </c>
      <c r="H254">
        <v>2</v>
      </c>
      <c r="I254">
        <v>9200</v>
      </c>
      <c r="J254">
        <v>0.1</v>
      </c>
      <c r="K254">
        <v>16560</v>
      </c>
      <c r="L254" t="s">
        <v>142</v>
      </c>
    </row>
    <row r="255" spans="1:12">
      <c r="A255" t="s">
        <v>513</v>
      </c>
      <c r="B255" t="s">
        <v>370</v>
      </c>
      <c r="C255" s="1">
        <v>46201</v>
      </c>
      <c r="D255" t="s">
        <v>183</v>
      </c>
      <c r="E255" t="s">
        <v>15</v>
      </c>
      <c r="F255" t="s">
        <v>16</v>
      </c>
      <c r="G255" t="s">
        <v>17</v>
      </c>
      <c r="H255">
        <v>2</v>
      </c>
      <c r="I255">
        <v>9800</v>
      </c>
      <c r="J255">
        <v>0.1</v>
      </c>
      <c r="K255">
        <v>17640</v>
      </c>
      <c r="L255" t="s">
        <v>113</v>
      </c>
    </row>
    <row r="256" spans="1:12">
      <c r="A256" t="s">
        <v>514</v>
      </c>
      <c r="B256" t="s">
        <v>176</v>
      </c>
      <c r="C256" s="1">
        <v>46279</v>
      </c>
      <c r="D256" t="s">
        <v>96</v>
      </c>
      <c r="E256" t="s">
        <v>22</v>
      </c>
      <c r="F256" t="s">
        <v>16</v>
      </c>
      <c r="G256" t="s">
        <v>29</v>
      </c>
      <c r="H256">
        <v>1</v>
      </c>
      <c r="I256">
        <v>3200</v>
      </c>
      <c r="J256">
        <v>0.05</v>
      </c>
      <c r="K256">
        <v>3040</v>
      </c>
      <c r="L256" t="s">
        <v>35</v>
      </c>
    </row>
    <row r="257" spans="1:12">
      <c r="A257" t="s">
        <v>515</v>
      </c>
      <c r="B257" t="s">
        <v>516</v>
      </c>
      <c r="C257" s="1">
        <v>46295</v>
      </c>
      <c r="D257" t="s">
        <v>67</v>
      </c>
      <c r="E257" t="s">
        <v>54</v>
      </c>
      <c r="F257" t="s">
        <v>16</v>
      </c>
      <c r="G257" t="s">
        <v>17</v>
      </c>
      <c r="H257">
        <v>3</v>
      </c>
      <c r="I257">
        <v>2800</v>
      </c>
      <c r="J257">
        <v>0.2</v>
      </c>
      <c r="K257">
        <v>6720</v>
      </c>
      <c r="L257" t="s">
        <v>85</v>
      </c>
    </row>
    <row r="258" spans="1:12">
      <c r="A258" t="s">
        <v>517</v>
      </c>
      <c r="B258" t="s">
        <v>203</v>
      </c>
      <c r="C258" s="1">
        <v>46143</v>
      </c>
      <c r="D258" t="s">
        <v>50</v>
      </c>
      <c r="E258" t="s">
        <v>28</v>
      </c>
      <c r="F258" t="s">
        <v>16</v>
      </c>
      <c r="G258" t="s">
        <v>17</v>
      </c>
      <c r="H258">
        <v>2</v>
      </c>
      <c r="I258">
        <v>6200</v>
      </c>
      <c r="J258">
        <v>0.1</v>
      </c>
      <c r="K258">
        <v>11160</v>
      </c>
      <c r="L258" t="s">
        <v>64</v>
      </c>
    </row>
    <row r="259" spans="1:12">
      <c r="A259" t="s">
        <v>518</v>
      </c>
      <c r="B259" t="s">
        <v>424</v>
      </c>
      <c r="C259" s="1">
        <v>46134</v>
      </c>
      <c r="D259" t="s">
        <v>57</v>
      </c>
      <c r="E259" t="s">
        <v>54</v>
      </c>
      <c r="F259" t="s">
        <v>16</v>
      </c>
      <c r="G259" t="s">
        <v>17</v>
      </c>
      <c r="H259">
        <v>1</v>
      </c>
      <c r="I259">
        <v>2400</v>
      </c>
      <c r="J259">
        <v>0.1</v>
      </c>
      <c r="K259">
        <v>2160</v>
      </c>
      <c r="L259" t="s">
        <v>61</v>
      </c>
    </row>
    <row r="260" spans="1:12">
      <c r="A260" t="s">
        <v>519</v>
      </c>
      <c r="B260" t="s">
        <v>520</v>
      </c>
      <c r="C260" s="1">
        <v>46082</v>
      </c>
      <c r="D260" t="s">
        <v>50</v>
      </c>
      <c r="E260" t="s">
        <v>28</v>
      </c>
      <c r="F260" t="s">
        <v>16</v>
      </c>
      <c r="G260" t="s">
        <v>29</v>
      </c>
      <c r="H260">
        <v>4</v>
      </c>
      <c r="I260">
        <v>6200</v>
      </c>
      <c r="J260">
        <v>0.1</v>
      </c>
      <c r="K260">
        <v>22320</v>
      </c>
      <c r="L260" t="s">
        <v>35</v>
      </c>
    </row>
    <row r="261" spans="1:12">
      <c r="A261" t="s">
        <v>521</v>
      </c>
      <c r="B261" t="s">
        <v>522</v>
      </c>
      <c r="C261" s="1">
        <v>46168</v>
      </c>
      <c r="D261" t="s">
        <v>112</v>
      </c>
      <c r="E261" t="s">
        <v>15</v>
      </c>
      <c r="F261" t="s">
        <v>16</v>
      </c>
      <c r="G261" t="s">
        <v>17</v>
      </c>
      <c r="H261">
        <v>2</v>
      </c>
      <c r="I261">
        <v>3200</v>
      </c>
      <c r="J261">
        <v>0.05</v>
      </c>
      <c r="K261">
        <v>6080</v>
      </c>
      <c r="L261" t="s">
        <v>135</v>
      </c>
    </row>
    <row r="262" spans="1:12">
      <c r="A262" t="s">
        <v>523</v>
      </c>
      <c r="B262" t="s">
        <v>486</v>
      </c>
      <c r="C262" s="1">
        <v>46080</v>
      </c>
      <c r="D262" t="s">
        <v>57</v>
      </c>
      <c r="E262" t="s">
        <v>54</v>
      </c>
      <c r="F262" t="s">
        <v>16</v>
      </c>
      <c r="G262" t="s">
        <v>17</v>
      </c>
      <c r="H262">
        <v>1</v>
      </c>
      <c r="I262">
        <v>2400</v>
      </c>
      <c r="J262">
        <v>0.1</v>
      </c>
      <c r="K262">
        <v>2160</v>
      </c>
      <c r="L262" t="s">
        <v>135</v>
      </c>
    </row>
    <row r="263" spans="1:12">
      <c r="A263" t="s">
        <v>524</v>
      </c>
      <c r="B263" t="s">
        <v>247</v>
      </c>
      <c r="C263" s="1">
        <v>46152</v>
      </c>
      <c r="D263" t="s">
        <v>96</v>
      </c>
      <c r="E263" t="s">
        <v>22</v>
      </c>
      <c r="F263" t="s">
        <v>16</v>
      </c>
      <c r="G263" t="s">
        <v>23</v>
      </c>
      <c r="H263">
        <v>4</v>
      </c>
      <c r="I263">
        <v>3200</v>
      </c>
      <c r="J263">
        <v>0</v>
      </c>
      <c r="K263">
        <v>12800</v>
      </c>
      <c r="L263" t="s">
        <v>30</v>
      </c>
    </row>
    <row r="264" spans="1:12">
      <c r="A264" t="s">
        <v>525</v>
      </c>
      <c r="B264" t="s">
        <v>481</v>
      </c>
      <c r="C264" s="1">
        <v>46273</v>
      </c>
      <c r="D264" t="s">
        <v>91</v>
      </c>
      <c r="E264" t="s">
        <v>22</v>
      </c>
      <c r="F264" t="s">
        <v>16</v>
      </c>
      <c r="G264" t="s">
        <v>29</v>
      </c>
      <c r="H264">
        <v>4</v>
      </c>
      <c r="I264">
        <v>11500</v>
      </c>
      <c r="J264">
        <v>0.05</v>
      </c>
      <c r="K264">
        <v>43700</v>
      </c>
      <c r="L264" t="s">
        <v>97</v>
      </c>
    </row>
    <row r="265" spans="1:12">
      <c r="A265" t="s">
        <v>526</v>
      </c>
      <c r="B265" t="s">
        <v>527</v>
      </c>
      <c r="C265" s="1">
        <v>46245</v>
      </c>
      <c r="D265" t="s">
        <v>84</v>
      </c>
      <c r="E265" t="s">
        <v>22</v>
      </c>
      <c r="F265" t="s">
        <v>16</v>
      </c>
      <c r="G265" t="s">
        <v>29</v>
      </c>
      <c r="H265">
        <v>1</v>
      </c>
      <c r="I265">
        <v>8900</v>
      </c>
      <c r="J265">
        <v>0.05</v>
      </c>
      <c r="K265">
        <v>8455</v>
      </c>
      <c r="L265" t="s">
        <v>142</v>
      </c>
    </row>
    <row r="266" spans="1:12">
      <c r="A266" t="s">
        <v>528</v>
      </c>
      <c r="B266" t="s">
        <v>529</v>
      </c>
      <c r="C266" s="1">
        <v>46293</v>
      </c>
      <c r="D266" t="s">
        <v>115</v>
      </c>
      <c r="E266" t="s">
        <v>54</v>
      </c>
      <c r="F266" t="s">
        <v>16</v>
      </c>
      <c r="G266" t="s">
        <v>29</v>
      </c>
      <c r="H266">
        <v>1</v>
      </c>
      <c r="I266">
        <v>6800</v>
      </c>
      <c r="J266">
        <v>0.15</v>
      </c>
      <c r="K266">
        <v>5780</v>
      </c>
      <c r="L266" t="s">
        <v>61</v>
      </c>
    </row>
    <row r="267" spans="1:12">
      <c r="A267" t="s">
        <v>530</v>
      </c>
      <c r="B267" t="s">
        <v>531</v>
      </c>
      <c r="C267" s="1">
        <v>46129</v>
      </c>
      <c r="D267" t="s">
        <v>60</v>
      </c>
      <c r="E267" t="s">
        <v>28</v>
      </c>
      <c r="F267" t="s">
        <v>34</v>
      </c>
      <c r="G267" t="s">
        <v>17</v>
      </c>
      <c r="H267">
        <v>4</v>
      </c>
      <c r="I267">
        <v>12800</v>
      </c>
      <c r="J267">
        <v>0</v>
      </c>
      <c r="K267">
        <v>51200</v>
      </c>
      <c r="L267" t="s">
        <v>113</v>
      </c>
    </row>
    <row r="268" spans="1:12">
      <c r="A268" t="s">
        <v>532</v>
      </c>
      <c r="B268" t="s">
        <v>249</v>
      </c>
      <c r="C268" s="1">
        <v>46132</v>
      </c>
      <c r="D268" t="s">
        <v>46</v>
      </c>
      <c r="E268" t="s">
        <v>47</v>
      </c>
      <c r="F268" t="s">
        <v>16</v>
      </c>
      <c r="G268" t="s">
        <v>17</v>
      </c>
      <c r="H268">
        <v>1</v>
      </c>
      <c r="I268">
        <v>9200</v>
      </c>
      <c r="J268">
        <v>0.1</v>
      </c>
      <c r="K268">
        <v>8280</v>
      </c>
      <c r="L268" t="s">
        <v>97</v>
      </c>
    </row>
    <row r="269" spans="1:12">
      <c r="A269" t="s">
        <v>533</v>
      </c>
      <c r="B269" t="s">
        <v>224</v>
      </c>
      <c r="C269" s="1">
        <v>46135</v>
      </c>
      <c r="D269" t="s">
        <v>77</v>
      </c>
      <c r="E269" t="s">
        <v>54</v>
      </c>
      <c r="F269" t="s">
        <v>16</v>
      </c>
      <c r="G269" t="s">
        <v>29</v>
      </c>
      <c r="H269">
        <v>1</v>
      </c>
      <c r="I269">
        <v>7200</v>
      </c>
      <c r="J269">
        <v>0.15</v>
      </c>
      <c r="K269">
        <v>6120</v>
      </c>
      <c r="L269" t="s">
        <v>18</v>
      </c>
    </row>
    <row r="270" spans="1:12">
      <c r="A270" t="s">
        <v>534</v>
      </c>
      <c r="B270" t="s">
        <v>209</v>
      </c>
      <c r="C270" s="1">
        <v>46050</v>
      </c>
      <c r="D270" t="s">
        <v>389</v>
      </c>
      <c r="E270" t="s">
        <v>47</v>
      </c>
      <c r="F270" t="s">
        <v>34</v>
      </c>
      <c r="G270" t="s">
        <v>23</v>
      </c>
      <c r="H270">
        <v>1</v>
      </c>
      <c r="I270">
        <v>7400</v>
      </c>
      <c r="J270">
        <v>0</v>
      </c>
      <c r="K270">
        <v>7400</v>
      </c>
      <c r="L270" t="s">
        <v>61</v>
      </c>
    </row>
    <row r="271" spans="1:12">
      <c r="A271" t="s">
        <v>535</v>
      </c>
      <c r="B271" t="s">
        <v>536</v>
      </c>
      <c r="C271" s="1">
        <v>46124</v>
      </c>
      <c r="D271" t="s">
        <v>115</v>
      </c>
      <c r="E271" t="s">
        <v>54</v>
      </c>
      <c r="F271" t="s">
        <v>16</v>
      </c>
      <c r="G271" t="s">
        <v>17</v>
      </c>
      <c r="H271">
        <v>3</v>
      </c>
      <c r="I271">
        <v>6800</v>
      </c>
      <c r="J271">
        <v>0.1</v>
      </c>
      <c r="K271">
        <v>18360</v>
      </c>
      <c r="L271" t="s">
        <v>85</v>
      </c>
    </row>
    <row r="272" spans="1:12">
      <c r="A272" t="s">
        <v>537</v>
      </c>
      <c r="B272" t="s">
        <v>207</v>
      </c>
      <c r="C272" s="1">
        <v>46089</v>
      </c>
      <c r="D272" t="s">
        <v>112</v>
      </c>
      <c r="E272" t="s">
        <v>15</v>
      </c>
      <c r="F272" t="s">
        <v>16</v>
      </c>
      <c r="G272" t="s">
        <v>17</v>
      </c>
      <c r="H272">
        <v>1</v>
      </c>
      <c r="I272">
        <v>3200</v>
      </c>
      <c r="J272">
        <v>0.05</v>
      </c>
      <c r="K272">
        <v>3040</v>
      </c>
      <c r="L272" t="s">
        <v>142</v>
      </c>
    </row>
    <row r="273" spans="1:12">
      <c r="A273" t="s">
        <v>538</v>
      </c>
      <c r="B273" t="s">
        <v>346</v>
      </c>
      <c r="C273" s="1">
        <v>46058</v>
      </c>
      <c r="D273" t="s">
        <v>115</v>
      </c>
      <c r="E273" t="s">
        <v>54</v>
      </c>
      <c r="F273" t="s">
        <v>16</v>
      </c>
      <c r="G273" t="s">
        <v>29</v>
      </c>
      <c r="H273">
        <v>1</v>
      </c>
      <c r="I273">
        <v>6800</v>
      </c>
      <c r="J273">
        <v>0.2</v>
      </c>
      <c r="K273">
        <v>5440</v>
      </c>
      <c r="L273" t="s">
        <v>30</v>
      </c>
    </row>
    <row r="274" spans="1:12">
      <c r="A274" t="s">
        <v>539</v>
      </c>
      <c r="B274" t="s">
        <v>540</v>
      </c>
      <c r="C274" s="1">
        <v>46172</v>
      </c>
      <c r="D274" t="s">
        <v>103</v>
      </c>
      <c r="E274" t="s">
        <v>47</v>
      </c>
      <c r="F274" t="s">
        <v>16</v>
      </c>
      <c r="G274" t="s">
        <v>29</v>
      </c>
      <c r="H274">
        <v>2</v>
      </c>
      <c r="I274">
        <v>3800</v>
      </c>
      <c r="J274">
        <v>0</v>
      </c>
      <c r="K274">
        <v>7600</v>
      </c>
      <c r="L274" t="s">
        <v>72</v>
      </c>
    </row>
    <row r="275" spans="1:12">
      <c r="A275" t="s">
        <v>541</v>
      </c>
      <c r="B275" t="s">
        <v>132</v>
      </c>
      <c r="C275" s="1">
        <v>46160</v>
      </c>
      <c r="D275" t="s">
        <v>115</v>
      </c>
      <c r="E275" t="s">
        <v>54</v>
      </c>
      <c r="F275" t="s">
        <v>16</v>
      </c>
      <c r="G275" t="s">
        <v>29</v>
      </c>
      <c r="H275">
        <v>1</v>
      </c>
      <c r="I275">
        <v>6800</v>
      </c>
      <c r="J275">
        <v>0.05</v>
      </c>
      <c r="K275">
        <v>6460</v>
      </c>
      <c r="L275" t="s">
        <v>113</v>
      </c>
    </row>
    <row r="276" spans="1:12">
      <c r="A276" t="s">
        <v>542</v>
      </c>
      <c r="B276" t="s">
        <v>543</v>
      </c>
      <c r="C276" s="1">
        <v>46178</v>
      </c>
      <c r="D276" t="s">
        <v>60</v>
      </c>
      <c r="E276" t="s">
        <v>28</v>
      </c>
      <c r="F276" t="s">
        <v>16</v>
      </c>
      <c r="G276" t="s">
        <v>17</v>
      </c>
      <c r="H276">
        <v>3</v>
      </c>
      <c r="I276">
        <v>12800</v>
      </c>
      <c r="J276">
        <v>0.2</v>
      </c>
      <c r="K276">
        <v>30720</v>
      </c>
      <c r="L276" t="s">
        <v>61</v>
      </c>
    </row>
    <row r="277" spans="1:12">
      <c r="A277" t="s">
        <v>544</v>
      </c>
      <c r="B277" t="s">
        <v>545</v>
      </c>
      <c r="C277" s="1">
        <v>46213</v>
      </c>
      <c r="D277" t="s">
        <v>50</v>
      </c>
      <c r="E277" t="s">
        <v>28</v>
      </c>
      <c r="F277" t="s">
        <v>16</v>
      </c>
      <c r="G277" t="s">
        <v>29</v>
      </c>
      <c r="H277">
        <v>1</v>
      </c>
      <c r="I277">
        <v>6200</v>
      </c>
      <c r="J277">
        <v>0.15</v>
      </c>
      <c r="K277">
        <v>5270</v>
      </c>
      <c r="L277" t="s">
        <v>135</v>
      </c>
    </row>
    <row r="278" spans="1:12">
      <c r="A278" t="s">
        <v>546</v>
      </c>
      <c r="B278" t="s">
        <v>370</v>
      </c>
      <c r="C278" s="1">
        <v>46052</v>
      </c>
      <c r="D278" t="s">
        <v>50</v>
      </c>
      <c r="E278" t="s">
        <v>28</v>
      </c>
      <c r="F278" t="s">
        <v>16</v>
      </c>
      <c r="G278" t="s">
        <v>29</v>
      </c>
      <c r="H278">
        <v>1</v>
      </c>
      <c r="I278">
        <v>6200</v>
      </c>
      <c r="J278">
        <v>0</v>
      </c>
      <c r="K278">
        <v>6200</v>
      </c>
      <c r="L278" t="s">
        <v>61</v>
      </c>
    </row>
    <row r="279" spans="1:12">
      <c r="A279" t="s">
        <v>547</v>
      </c>
      <c r="B279" t="s">
        <v>548</v>
      </c>
      <c r="C279" s="1">
        <v>46292</v>
      </c>
      <c r="D279" t="s">
        <v>46</v>
      </c>
      <c r="E279" t="s">
        <v>47</v>
      </c>
      <c r="F279" t="s">
        <v>16</v>
      </c>
      <c r="G279" t="s">
        <v>17</v>
      </c>
      <c r="H279">
        <v>2</v>
      </c>
      <c r="I279">
        <v>9200</v>
      </c>
      <c r="J279">
        <v>0.1</v>
      </c>
      <c r="K279">
        <v>16560</v>
      </c>
      <c r="L279" t="s">
        <v>85</v>
      </c>
    </row>
    <row r="280" spans="1:12">
      <c r="A280" t="s">
        <v>549</v>
      </c>
      <c r="B280" t="s">
        <v>550</v>
      </c>
      <c r="C280" s="1">
        <v>46173</v>
      </c>
      <c r="D280" t="s">
        <v>91</v>
      </c>
      <c r="E280" t="s">
        <v>22</v>
      </c>
      <c r="F280" t="s">
        <v>34</v>
      </c>
      <c r="G280" t="s">
        <v>29</v>
      </c>
      <c r="H280">
        <v>1</v>
      </c>
      <c r="I280">
        <v>11500</v>
      </c>
      <c r="J280">
        <v>0.1</v>
      </c>
      <c r="K280">
        <v>10350</v>
      </c>
      <c r="L280" t="s">
        <v>18</v>
      </c>
    </row>
    <row r="281" spans="1:12">
      <c r="A281" t="s">
        <v>551</v>
      </c>
      <c r="B281" t="s">
        <v>552</v>
      </c>
      <c r="C281" s="1">
        <v>46170</v>
      </c>
      <c r="D281" t="s">
        <v>57</v>
      </c>
      <c r="E281" t="s">
        <v>54</v>
      </c>
      <c r="F281" t="s">
        <v>16</v>
      </c>
      <c r="G281" t="s">
        <v>29</v>
      </c>
      <c r="H281">
        <v>1</v>
      </c>
      <c r="I281">
        <v>2400</v>
      </c>
      <c r="J281">
        <v>0.1</v>
      </c>
      <c r="K281">
        <v>2160</v>
      </c>
      <c r="L281" t="s">
        <v>135</v>
      </c>
    </row>
    <row r="282" spans="1:12">
      <c r="A282" t="s">
        <v>553</v>
      </c>
      <c r="B282" t="s">
        <v>249</v>
      </c>
      <c r="C282" s="1">
        <v>46070</v>
      </c>
      <c r="D282" t="s">
        <v>77</v>
      </c>
      <c r="E282" t="s">
        <v>54</v>
      </c>
      <c r="F282" t="s">
        <v>16</v>
      </c>
      <c r="G282" t="s">
        <v>17</v>
      </c>
      <c r="H282">
        <v>1</v>
      </c>
      <c r="I282">
        <v>7200</v>
      </c>
      <c r="J282">
        <v>0.05</v>
      </c>
      <c r="K282">
        <v>6840</v>
      </c>
      <c r="L282" t="s">
        <v>24</v>
      </c>
    </row>
    <row r="283" spans="1:12">
      <c r="A283" t="s">
        <v>554</v>
      </c>
      <c r="B283" t="s">
        <v>318</v>
      </c>
      <c r="C283" s="1">
        <v>46057</v>
      </c>
      <c r="D283" t="s">
        <v>84</v>
      </c>
      <c r="E283" t="s">
        <v>22</v>
      </c>
      <c r="F283" t="s">
        <v>16</v>
      </c>
      <c r="G283" t="s">
        <v>17</v>
      </c>
      <c r="H283">
        <v>2</v>
      </c>
      <c r="I283">
        <v>8900</v>
      </c>
      <c r="J283">
        <v>0.15</v>
      </c>
      <c r="K283">
        <v>15130</v>
      </c>
      <c r="L283" t="s">
        <v>135</v>
      </c>
    </row>
    <row r="284" spans="1:12">
      <c r="A284" t="s">
        <v>555</v>
      </c>
      <c r="B284" t="s">
        <v>556</v>
      </c>
      <c r="C284" s="1">
        <v>46172</v>
      </c>
      <c r="D284" t="s">
        <v>41</v>
      </c>
      <c r="E284" t="s">
        <v>15</v>
      </c>
      <c r="F284" t="s">
        <v>16</v>
      </c>
      <c r="G284" t="s">
        <v>23</v>
      </c>
      <c r="H284">
        <v>1</v>
      </c>
      <c r="I284">
        <v>5400</v>
      </c>
      <c r="J284">
        <v>0.05</v>
      </c>
      <c r="K284">
        <v>5130</v>
      </c>
      <c r="L284" t="s">
        <v>142</v>
      </c>
    </row>
    <row r="285" spans="1:12">
      <c r="A285" t="s">
        <v>557</v>
      </c>
      <c r="B285" t="s">
        <v>474</v>
      </c>
      <c r="C285" s="1">
        <v>46045</v>
      </c>
      <c r="D285" t="s">
        <v>67</v>
      </c>
      <c r="E285" t="s">
        <v>54</v>
      </c>
      <c r="F285" t="s">
        <v>34</v>
      </c>
      <c r="G285" t="s">
        <v>17</v>
      </c>
      <c r="H285">
        <v>1</v>
      </c>
      <c r="I285">
        <v>2800</v>
      </c>
      <c r="J285">
        <v>0.05</v>
      </c>
      <c r="K285">
        <v>2660</v>
      </c>
      <c r="L285" t="s">
        <v>113</v>
      </c>
    </row>
    <row r="286" spans="1:12">
      <c r="A286" t="s">
        <v>558</v>
      </c>
      <c r="B286" t="s">
        <v>559</v>
      </c>
      <c r="C286" s="1">
        <v>46146</v>
      </c>
      <c r="D286" t="s">
        <v>41</v>
      </c>
      <c r="E286" t="s">
        <v>15</v>
      </c>
      <c r="F286" t="s">
        <v>34</v>
      </c>
      <c r="G286" t="s">
        <v>29</v>
      </c>
      <c r="H286">
        <v>3</v>
      </c>
      <c r="I286">
        <v>5400</v>
      </c>
      <c r="J286">
        <v>0.05</v>
      </c>
      <c r="K286">
        <v>15390</v>
      </c>
      <c r="L286" t="s">
        <v>64</v>
      </c>
    </row>
    <row r="287" spans="1:12">
      <c r="A287" t="s">
        <v>560</v>
      </c>
      <c r="B287" t="s">
        <v>504</v>
      </c>
      <c r="C287" s="1">
        <v>46037</v>
      </c>
      <c r="D287" t="s">
        <v>118</v>
      </c>
      <c r="E287" t="s">
        <v>47</v>
      </c>
      <c r="F287" t="s">
        <v>34</v>
      </c>
      <c r="G287" t="s">
        <v>17</v>
      </c>
      <c r="H287">
        <v>1</v>
      </c>
      <c r="I287">
        <v>4100</v>
      </c>
      <c r="J287">
        <v>0.05</v>
      </c>
      <c r="K287">
        <v>3895</v>
      </c>
      <c r="L287" t="s">
        <v>64</v>
      </c>
    </row>
    <row r="288" spans="1:12">
      <c r="A288" t="s">
        <v>561</v>
      </c>
      <c r="B288" t="s">
        <v>562</v>
      </c>
      <c r="C288" s="1">
        <v>46167</v>
      </c>
      <c r="D288" t="s">
        <v>112</v>
      </c>
      <c r="E288" t="s">
        <v>15</v>
      </c>
      <c r="F288" t="s">
        <v>16</v>
      </c>
      <c r="G288" t="s">
        <v>29</v>
      </c>
      <c r="H288">
        <v>3</v>
      </c>
      <c r="I288">
        <v>3200</v>
      </c>
      <c r="J288">
        <v>0</v>
      </c>
      <c r="K288">
        <v>9600</v>
      </c>
      <c r="L288" t="s">
        <v>38</v>
      </c>
    </row>
    <row r="289" spans="1:12">
      <c r="A289" t="s">
        <v>563</v>
      </c>
      <c r="B289" t="s">
        <v>564</v>
      </c>
      <c r="C289" s="1">
        <v>46102</v>
      </c>
      <c r="D289" t="s">
        <v>21</v>
      </c>
      <c r="E289" t="s">
        <v>22</v>
      </c>
      <c r="F289" t="s">
        <v>16</v>
      </c>
      <c r="G289" t="s">
        <v>29</v>
      </c>
      <c r="H289">
        <v>2</v>
      </c>
      <c r="I289">
        <v>7600</v>
      </c>
      <c r="J289">
        <v>0</v>
      </c>
      <c r="K289">
        <v>15200</v>
      </c>
      <c r="L289" t="s">
        <v>24</v>
      </c>
    </row>
    <row r="290" spans="1:12">
      <c r="A290" t="s">
        <v>565</v>
      </c>
      <c r="B290" t="s">
        <v>566</v>
      </c>
      <c r="C290" s="1">
        <v>46063</v>
      </c>
      <c r="D290" t="s">
        <v>389</v>
      </c>
      <c r="E290" t="s">
        <v>47</v>
      </c>
      <c r="F290" t="s">
        <v>16</v>
      </c>
      <c r="G290" t="s">
        <v>29</v>
      </c>
      <c r="H290">
        <v>1</v>
      </c>
      <c r="I290">
        <v>7400</v>
      </c>
      <c r="J290">
        <v>0.1</v>
      </c>
      <c r="K290">
        <v>6660</v>
      </c>
      <c r="L290" t="s">
        <v>64</v>
      </c>
    </row>
    <row r="291" spans="1:12">
      <c r="A291" t="s">
        <v>567</v>
      </c>
      <c r="B291" t="s">
        <v>568</v>
      </c>
      <c r="C291" s="1">
        <v>46100</v>
      </c>
      <c r="D291" t="s">
        <v>21</v>
      </c>
      <c r="E291" t="s">
        <v>22</v>
      </c>
      <c r="F291" t="s">
        <v>34</v>
      </c>
      <c r="G291" t="s">
        <v>29</v>
      </c>
      <c r="H291">
        <v>1</v>
      </c>
      <c r="I291">
        <v>7600</v>
      </c>
      <c r="J291">
        <v>0</v>
      </c>
      <c r="K291">
        <v>7600</v>
      </c>
      <c r="L291" t="s">
        <v>30</v>
      </c>
    </row>
    <row r="292" spans="1:12">
      <c r="A292" t="s">
        <v>569</v>
      </c>
      <c r="B292" t="s">
        <v>570</v>
      </c>
      <c r="C292" s="1">
        <v>46232</v>
      </c>
      <c r="D292" t="s">
        <v>88</v>
      </c>
      <c r="E292" t="s">
        <v>15</v>
      </c>
      <c r="F292" t="s">
        <v>16</v>
      </c>
      <c r="G292" t="s">
        <v>17</v>
      </c>
      <c r="H292">
        <v>3</v>
      </c>
      <c r="I292">
        <v>4800</v>
      </c>
      <c r="J292">
        <v>0.1</v>
      </c>
      <c r="K292">
        <v>12960</v>
      </c>
      <c r="L292" t="s">
        <v>97</v>
      </c>
    </row>
    <row r="293" spans="1:12">
      <c r="A293" t="s">
        <v>571</v>
      </c>
      <c r="B293" t="s">
        <v>572</v>
      </c>
      <c r="C293" s="1">
        <v>46283</v>
      </c>
      <c r="D293" t="s">
        <v>53</v>
      </c>
      <c r="E293" t="s">
        <v>54</v>
      </c>
      <c r="F293" t="s">
        <v>16</v>
      </c>
      <c r="G293" t="s">
        <v>29</v>
      </c>
      <c r="H293">
        <v>2</v>
      </c>
      <c r="I293">
        <v>4500</v>
      </c>
      <c r="J293">
        <v>0</v>
      </c>
      <c r="K293">
        <v>9000</v>
      </c>
      <c r="L293" t="s">
        <v>85</v>
      </c>
    </row>
    <row r="294" spans="1:12">
      <c r="A294" t="s">
        <v>573</v>
      </c>
      <c r="B294" t="s">
        <v>150</v>
      </c>
      <c r="C294" s="1">
        <v>46212</v>
      </c>
      <c r="D294" t="s">
        <v>27</v>
      </c>
      <c r="E294" t="s">
        <v>28</v>
      </c>
      <c r="F294" t="s">
        <v>34</v>
      </c>
      <c r="G294" t="s">
        <v>17</v>
      </c>
      <c r="H294">
        <v>1</v>
      </c>
      <c r="I294">
        <v>3500</v>
      </c>
      <c r="J294">
        <v>0.05</v>
      </c>
      <c r="K294">
        <v>3325</v>
      </c>
      <c r="L294" t="s">
        <v>61</v>
      </c>
    </row>
    <row r="295" spans="1:12">
      <c r="A295" t="s">
        <v>574</v>
      </c>
      <c r="B295" t="s">
        <v>575</v>
      </c>
      <c r="C295" s="1">
        <v>46151</v>
      </c>
      <c r="D295" t="s">
        <v>46</v>
      </c>
      <c r="E295" t="s">
        <v>47</v>
      </c>
      <c r="F295" t="s">
        <v>16</v>
      </c>
      <c r="G295" t="s">
        <v>17</v>
      </c>
      <c r="H295">
        <v>1</v>
      </c>
      <c r="I295">
        <v>9200</v>
      </c>
      <c r="J295">
        <v>0</v>
      </c>
      <c r="K295">
        <v>9200</v>
      </c>
      <c r="L295" t="s">
        <v>123</v>
      </c>
    </row>
    <row r="296" spans="1:12">
      <c r="A296" t="s">
        <v>576</v>
      </c>
      <c r="B296" t="s">
        <v>577</v>
      </c>
      <c r="C296" s="1">
        <v>46144</v>
      </c>
      <c r="D296" t="s">
        <v>112</v>
      </c>
      <c r="E296" t="s">
        <v>15</v>
      </c>
      <c r="F296" t="s">
        <v>34</v>
      </c>
      <c r="G296" t="s">
        <v>17</v>
      </c>
      <c r="H296">
        <v>3</v>
      </c>
      <c r="I296">
        <v>3200</v>
      </c>
      <c r="J296">
        <v>0.2</v>
      </c>
      <c r="K296">
        <v>7680</v>
      </c>
      <c r="L296" t="s">
        <v>64</v>
      </c>
    </row>
    <row r="297" spans="1:12">
      <c r="A297" t="s">
        <v>578</v>
      </c>
      <c r="B297" t="s">
        <v>420</v>
      </c>
      <c r="C297" s="1">
        <v>46036</v>
      </c>
      <c r="D297" t="s">
        <v>46</v>
      </c>
      <c r="E297" t="s">
        <v>47</v>
      </c>
      <c r="F297" t="s">
        <v>16</v>
      </c>
      <c r="G297" t="s">
        <v>23</v>
      </c>
      <c r="H297">
        <v>1</v>
      </c>
      <c r="I297">
        <v>9200</v>
      </c>
      <c r="J297">
        <v>0.15</v>
      </c>
      <c r="K297">
        <v>7820</v>
      </c>
      <c r="L297" t="s">
        <v>72</v>
      </c>
    </row>
    <row r="298" spans="1:12">
      <c r="A298" t="s">
        <v>579</v>
      </c>
      <c r="B298" t="s">
        <v>386</v>
      </c>
      <c r="C298" s="1">
        <v>46243</v>
      </c>
      <c r="D298" t="s">
        <v>84</v>
      </c>
      <c r="E298" t="s">
        <v>22</v>
      </c>
      <c r="F298" t="s">
        <v>34</v>
      </c>
      <c r="G298" t="s">
        <v>17</v>
      </c>
      <c r="H298">
        <v>1</v>
      </c>
      <c r="I298">
        <v>8900</v>
      </c>
      <c r="J298">
        <v>0.15</v>
      </c>
      <c r="K298">
        <v>7565</v>
      </c>
      <c r="L298" t="s">
        <v>97</v>
      </c>
    </row>
    <row r="299" spans="1:12">
      <c r="A299" t="s">
        <v>580</v>
      </c>
      <c r="B299" t="s">
        <v>45</v>
      </c>
      <c r="C299" s="1">
        <v>46104</v>
      </c>
      <c r="D299" t="s">
        <v>112</v>
      </c>
      <c r="E299" t="s">
        <v>15</v>
      </c>
      <c r="F299" t="s">
        <v>34</v>
      </c>
      <c r="G299" t="s">
        <v>23</v>
      </c>
      <c r="H299">
        <v>1</v>
      </c>
      <c r="I299">
        <v>3200</v>
      </c>
      <c r="J299">
        <v>0.1</v>
      </c>
      <c r="K299">
        <v>2880</v>
      </c>
      <c r="L299" t="s">
        <v>61</v>
      </c>
    </row>
    <row r="300" spans="1:12">
      <c r="A300" t="s">
        <v>581</v>
      </c>
      <c r="B300" t="s">
        <v>582</v>
      </c>
      <c r="C300" s="1">
        <v>46079</v>
      </c>
      <c r="D300" t="s">
        <v>96</v>
      </c>
      <c r="E300" t="s">
        <v>22</v>
      </c>
      <c r="F300" t="s">
        <v>16</v>
      </c>
      <c r="G300" t="s">
        <v>23</v>
      </c>
      <c r="H300">
        <v>1</v>
      </c>
      <c r="I300">
        <v>3200</v>
      </c>
      <c r="J300">
        <v>0.15</v>
      </c>
      <c r="K300">
        <v>2720</v>
      </c>
      <c r="L300" t="s">
        <v>97</v>
      </c>
    </row>
    <row r="301" spans="1:12">
      <c r="A301" t="s">
        <v>583</v>
      </c>
      <c r="B301" t="s">
        <v>584</v>
      </c>
      <c r="C301" s="1">
        <v>46060</v>
      </c>
      <c r="D301" t="s">
        <v>71</v>
      </c>
      <c r="E301" t="s">
        <v>47</v>
      </c>
      <c r="F301" t="s">
        <v>16</v>
      </c>
      <c r="G301" t="s">
        <v>17</v>
      </c>
      <c r="H301">
        <v>2</v>
      </c>
      <c r="I301">
        <v>5600</v>
      </c>
      <c r="J301">
        <v>0.1</v>
      </c>
      <c r="K301">
        <v>10080</v>
      </c>
      <c r="L301" t="s">
        <v>123</v>
      </c>
    </row>
    <row r="302" spans="1:12">
      <c r="A302" t="s">
        <v>585</v>
      </c>
      <c r="B302" t="s">
        <v>586</v>
      </c>
      <c r="C302" s="1">
        <v>46275</v>
      </c>
      <c r="D302" t="s">
        <v>100</v>
      </c>
      <c r="E302" t="s">
        <v>28</v>
      </c>
      <c r="F302" t="s">
        <v>16</v>
      </c>
      <c r="G302" t="s">
        <v>29</v>
      </c>
      <c r="H302">
        <v>1</v>
      </c>
      <c r="I302">
        <v>4200</v>
      </c>
      <c r="J302">
        <v>0.05</v>
      </c>
      <c r="K302">
        <v>3990</v>
      </c>
      <c r="L302" t="s">
        <v>113</v>
      </c>
    </row>
    <row r="303" spans="1:12">
      <c r="A303" t="s">
        <v>587</v>
      </c>
      <c r="B303" t="s">
        <v>588</v>
      </c>
      <c r="C303" s="1">
        <v>46180</v>
      </c>
      <c r="D303" t="s">
        <v>41</v>
      </c>
      <c r="E303" t="s">
        <v>15</v>
      </c>
      <c r="F303" t="s">
        <v>34</v>
      </c>
      <c r="G303" t="s">
        <v>17</v>
      </c>
      <c r="H303">
        <v>4</v>
      </c>
      <c r="I303">
        <v>5400</v>
      </c>
      <c r="J303">
        <v>0.15</v>
      </c>
      <c r="K303">
        <v>18360</v>
      </c>
      <c r="L303" t="s">
        <v>113</v>
      </c>
    </row>
    <row r="304" spans="1:12">
      <c r="A304" t="s">
        <v>589</v>
      </c>
      <c r="B304" t="s">
        <v>590</v>
      </c>
      <c r="C304" s="1">
        <v>46061</v>
      </c>
      <c r="D304" t="s">
        <v>88</v>
      </c>
      <c r="E304" t="s">
        <v>15</v>
      </c>
      <c r="F304" t="s">
        <v>34</v>
      </c>
      <c r="G304" t="s">
        <v>23</v>
      </c>
      <c r="H304">
        <v>1</v>
      </c>
      <c r="I304">
        <v>4800</v>
      </c>
      <c r="J304">
        <v>0.05</v>
      </c>
      <c r="K304">
        <v>4560</v>
      </c>
      <c r="L304" t="s">
        <v>61</v>
      </c>
    </row>
    <row r="305" spans="1:12">
      <c r="A305" t="s">
        <v>591</v>
      </c>
      <c r="B305" t="s">
        <v>592</v>
      </c>
      <c r="C305" s="1">
        <v>46097</v>
      </c>
      <c r="D305" t="s">
        <v>100</v>
      </c>
      <c r="E305" t="s">
        <v>28</v>
      </c>
      <c r="F305" t="s">
        <v>34</v>
      </c>
      <c r="G305" t="s">
        <v>29</v>
      </c>
      <c r="H305">
        <v>2</v>
      </c>
      <c r="I305">
        <v>4200</v>
      </c>
      <c r="J305">
        <v>0</v>
      </c>
      <c r="K305">
        <v>8400</v>
      </c>
      <c r="L305" t="s">
        <v>18</v>
      </c>
    </row>
    <row r="306" spans="1:12">
      <c r="A306" t="s">
        <v>593</v>
      </c>
      <c r="B306" t="s">
        <v>594</v>
      </c>
      <c r="C306" s="1">
        <v>46174</v>
      </c>
      <c r="D306" t="s">
        <v>115</v>
      </c>
      <c r="E306" t="s">
        <v>54</v>
      </c>
      <c r="F306" t="s">
        <v>34</v>
      </c>
      <c r="G306" t="s">
        <v>17</v>
      </c>
      <c r="H306">
        <v>1</v>
      </c>
      <c r="I306">
        <v>6800</v>
      </c>
      <c r="J306">
        <v>0.1</v>
      </c>
      <c r="K306">
        <v>6120</v>
      </c>
      <c r="L306" t="s">
        <v>135</v>
      </c>
    </row>
    <row r="307" spans="1:12">
      <c r="A307" t="s">
        <v>595</v>
      </c>
      <c r="B307" t="s">
        <v>596</v>
      </c>
      <c r="C307" s="1">
        <v>46092</v>
      </c>
      <c r="D307" t="s">
        <v>115</v>
      </c>
      <c r="E307" t="s">
        <v>54</v>
      </c>
      <c r="F307" t="s">
        <v>34</v>
      </c>
      <c r="G307" t="s">
        <v>29</v>
      </c>
      <c r="H307">
        <v>1</v>
      </c>
      <c r="I307">
        <v>6800</v>
      </c>
      <c r="J307">
        <v>0</v>
      </c>
      <c r="K307">
        <v>6800</v>
      </c>
      <c r="L307" t="s">
        <v>24</v>
      </c>
    </row>
    <row r="308" spans="1:12">
      <c r="A308" t="s">
        <v>597</v>
      </c>
      <c r="B308" t="s">
        <v>598</v>
      </c>
      <c r="C308" s="1">
        <v>46258</v>
      </c>
      <c r="D308" t="s">
        <v>112</v>
      </c>
      <c r="E308" t="s">
        <v>15</v>
      </c>
      <c r="F308" t="s">
        <v>34</v>
      </c>
      <c r="G308" t="s">
        <v>17</v>
      </c>
      <c r="H308">
        <v>1</v>
      </c>
      <c r="I308">
        <v>3200</v>
      </c>
      <c r="J308">
        <v>0.1</v>
      </c>
      <c r="K308">
        <v>2880</v>
      </c>
      <c r="L308" t="s">
        <v>35</v>
      </c>
    </row>
    <row r="309" spans="1:12">
      <c r="A309" t="s">
        <v>599</v>
      </c>
      <c r="B309" t="s">
        <v>288</v>
      </c>
      <c r="C309" s="1">
        <v>46245</v>
      </c>
      <c r="D309" t="s">
        <v>60</v>
      </c>
      <c r="E309" t="s">
        <v>28</v>
      </c>
      <c r="F309" t="s">
        <v>16</v>
      </c>
      <c r="G309" t="s">
        <v>17</v>
      </c>
      <c r="H309">
        <v>1</v>
      </c>
      <c r="I309">
        <v>12800</v>
      </c>
      <c r="J309">
        <v>0.05</v>
      </c>
      <c r="K309">
        <v>12160</v>
      </c>
      <c r="L309" t="s">
        <v>123</v>
      </c>
    </row>
    <row r="310" spans="1:12">
      <c r="A310" t="s">
        <v>600</v>
      </c>
      <c r="B310" t="s">
        <v>601</v>
      </c>
      <c r="C310" s="1">
        <v>46071</v>
      </c>
      <c r="D310" t="s">
        <v>77</v>
      </c>
      <c r="E310" t="s">
        <v>54</v>
      </c>
      <c r="F310" t="s">
        <v>16</v>
      </c>
      <c r="G310" t="s">
        <v>23</v>
      </c>
      <c r="H310">
        <v>1</v>
      </c>
      <c r="I310">
        <v>7200</v>
      </c>
      <c r="J310">
        <v>0.1</v>
      </c>
      <c r="K310">
        <v>6480</v>
      </c>
      <c r="L310" t="s">
        <v>97</v>
      </c>
    </row>
    <row r="311" spans="1:12">
      <c r="A311" t="s">
        <v>602</v>
      </c>
      <c r="B311" t="s">
        <v>276</v>
      </c>
      <c r="C311" s="1">
        <v>46204</v>
      </c>
      <c r="D311" t="s">
        <v>96</v>
      </c>
      <c r="E311" t="s">
        <v>22</v>
      </c>
      <c r="F311" t="s">
        <v>16</v>
      </c>
      <c r="G311" t="s">
        <v>23</v>
      </c>
      <c r="H311">
        <v>2</v>
      </c>
      <c r="I311">
        <v>3200</v>
      </c>
      <c r="J311">
        <v>0.05</v>
      </c>
      <c r="K311">
        <v>6080</v>
      </c>
      <c r="L311" t="s">
        <v>72</v>
      </c>
    </row>
    <row r="312" spans="1:12">
      <c r="A312" t="s">
        <v>603</v>
      </c>
      <c r="B312" t="s">
        <v>148</v>
      </c>
      <c r="C312" s="1">
        <v>46277</v>
      </c>
      <c r="D312" t="s">
        <v>115</v>
      </c>
      <c r="E312" t="s">
        <v>54</v>
      </c>
      <c r="F312" t="s">
        <v>34</v>
      </c>
      <c r="G312" t="s">
        <v>17</v>
      </c>
      <c r="H312">
        <v>1</v>
      </c>
      <c r="I312">
        <v>6800</v>
      </c>
      <c r="J312">
        <v>0.1</v>
      </c>
      <c r="K312">
        <v>6120</v>
      </c>
      <c r="L312" t="s">
        <v>72</v>
      </c>
    </row>
    <row r="313" spans="1:12">
      <c r="A313" t="s">
        <v>604</v>
      </c>
      <c r="B313" t="s">
        <v>605</v>
      </c>
      <c r="C313" s="1">
        <v>46078</v>
      </c>
      <c r="D313" t="s">
        <v>57</v>
      </c>
      <c r="E313" t="s">
        <v>54</v>
      </c>
      <c r="F313" t="s">
        <v>34</v>
      </c>
      <c r="G313" t="s">
        <v>17</v>
      </c>
      <c r="H313">
        <v>1</v>
      </c>
      <c r="I313">
        <v>2400</v>
      </c>
      <c r="J313">
        <v>0</v>
      </c>
      <c r="K313">
        <v>2400</v>
      </c>
      <c r="L313" t="s">
        <v>97</v>
      </c>
    </row>
    <row r="314" spans="1:12">
      <c r="A314" t="s">
        <v>606</v>
      </c>
      <c r="B314" t="s">
        <v>607</v>
      </c>
      <c r="C314" s="1">
        <v>46171</v>
      </c>
      <c r="D314" t="s">
        <v>91</v>
      </c>
      <c r="E314" t="s">
        <v>22</v>
      </c>
      <c r="F314" t="s">
        <v>16</v>
      </c>
      <c r="G314" t="s">
        <v>17</v>
      </c>
      <c r="H314">
        <v>2</v>
      </c>
      <c r="I314">
        <v>11500</v>
      </c>
      <c r="J314">
        <v>0</v>
      </c>
      <c r="K314">
        <v>23000</v>
      </c>
      <c r="L314" t="s">
        <v>35</v>
      </c>
    </row>
    <row r="315" spans="1:12">
      <c r="A315" t="s">
        <v>608</v>
      </c>
      <c r="B315" t="s">
        <v>527</v>
      </c>
      <c r="C315" s="1">
        <v>46243</v>
      </c>
      <c r="D315" t="s">
        <v>103</v>
      </c>
      <c r="E315" t="s">
        <v>47</v>
      </c>
      <c r="F315" t="s">
        <v>16</v>
      </c>
      <c r="G315" t="s">
        <v>17</v>
      </c>
      <c r="H315">
        <v>1</v>
      </c>
      <c r="I315">
        <v>3800</v>
      </c>
      <c r="J315">
        <v>0</v>
      </c>
      <c r="K315">
        <v>3800</v>
      </c>
      <c r="L315" t="s">
        <v>113</v>
      </c>
    </row>
    <row r="316" spans="1:12">
      <c r="A316" t="s">
        <v>609</v>
      </c>
      <c r="B316" t="s">
        <v>610</v>
      </c>
      <c r="C316" s="1">
        <v>46191</v>
      </c>
      <c r="D316" t="s">
        <v>389</v>
      </c>
      <c r="E316" t="s">
        <v>47</v>
      </c>
      <c r="F316" t="s">
        <v>16</v>
      </c>
      <c r="G316" t="s">
        <v>17</v>
      </c>
      <c r="H316">
        <v>1</v>
      </c>
      <c r="I316">
        <v>7400</v>
      </c>
      <c r="J316">
        <v>0.1</v>
      </c>
      <c r="K316">
        <v>6660</v>
      </c>
      <c r="L316" t="s">
        <v>38</v>
      </c>
    </row>
    <row r="317" spans="1:12">
      <c r="A317" t="s">
        <v>611</v>
      </c>
      <c r="B317" t="s">
        <v>612</v>
      </c>
      <c r="C317" s="1">
        <v>46203</v>
      </c>
      <c r="D317" t="s">
        <v>77</v>
      </c>
      <c r="E317" t="s">
        <v>54</v>
      </c>
      <c r="F317" t="s">
        <v>34</v>
      </c>
      <c r="G317" t="s">
        <v>23</v>
      </c>
      <c r="H317">
        <v>1</v>
      </c>
      <c r="I317">
        <v>7200</v>
      </c>
      <c r="J317">
        <v>0</v>
      </c>
      <c r="K317">
        <v>7200</v>
      </c>
      <c r="L317" t="s">
        <v>135</v>
      </c>
    </row>
    <row r="318" spans="1:12">
      <c r="A318" t="s">
        <v>613</v>
      </c>
      <c r="B318" t="s">
        <v>301</v>
      </c>
      <c r="C318" s="1">
        <v>46165</v>
      </c>
      <c r="D318" t="s">
        <v>100</v>
      </c>
      <c r="E318" t="s">
        <v>28</v>
      </c>
      <c r="F318" t="s">
        <v>16</v>
      </c>
      <c r="G318" t="s">
        <v>17</v>
      </c>
      <c r="H318">
        <v>2</v>
      </c>
      <c r="I318">
        <v>4200</v>
      </c>
      <c r="J318">
        <v>0.1</v>
      </c>
      <c r="K318">
        <v>7560</v>
      </c>
      <c r="L318" t="s">
        <v>142</v>
      </c>
    </row>
    <row r="319" spans="1:12">
      <c r="A319" t="s">
        <v>614</v>
      </c>
      <c r="B319" t="s">
        <v>615</v>
      </c>
      <c r="C319" s="1">
        <v>46160</v>
      </c>
      <c r="D319" t="s">
        <v>57</v>
      </c>
      <c r="E319" t="s">
        <v>54</v>
      </c>
      <c r="F319" t="s">
        <v>34</v>
      </c>
      <c r="G319" t="s">
        <v>17</v>
      </c>
      <c r="H319">
        <v>1</v>
      </c>
      <c r="I319">
        <v>2400</v>
      </c>
      <c r="J319">
        <v>0.15</v>
      </c>
      <c r="K319">
        <v>2040</v>
      </c>
      <c r="L319" t="s">
        <v>68</v>
      </c>
    </row>
    <row r="320" spans="1:12">
      <c r="A320" t="s">
        <v>616</v>
      </c>
      <c r="B320" t="s">
        <v>617</v>
      </c>
      <c r="C320" s="1">
        <v>46148</v>
      </c>
      <c r="D320" t="s">
        <v>96</v>
      </c>
      <c r="E320" t="s">
        <v>22</v>
      </c>
      <c r="F320" t="s">
        <v>16</v>
      </c>
      <c r="G320" t="s">
        <v>23</v>
      </c>
      <c r="H320">
        <v>4</v>
      </c>
      <c r="I320">
        <v>3200</v>
      </c>
      <c r="J320">
        <v>0</v>
      </c>
      <c r="K320">
        <v>12800</v>
      </c>
      <c r="L320" t="s">
        <v>38</v>
      </c>
    </row>
    <row r="321" spans="1:12">
      <c r="A321" t="s">
        <v>618</v>
      </c>
      <c r="B321" t="s">
        <v>619</v>
      </c>
      <c r="C321" s="1">
        <v>46260</v>
      </c>
      <c r="D321" t="s">
        <v>115</v>
      </c>
      <c r="E321" t="s">
        <v>54</v>
      </c>
      <c r="F321" t="s">
        <v>16</v>
      </c>
      <c r="G321" t="s">
        <v>17</v>
      </c>
      <c r="H321">
        <v>2</v>
      </c>
      <c r="I321">
        <v>6800</v>
      </c>
      <c r="J321">
        <v>0</v>
      </c>
      <c r="K321">
        <v>13600</v>
      </c>
      <c r="L321" t="s">
        <v>30</v>
      </c>
    </row>
    <row r="322" spans="1:12">
      <c r="A322" t="s">
        <v>620</v>
      </c>
      <c r="B322" t="s">
        <v>621</v>
      </c>
      <c r="C322" s="1">
        <v>46234</v>
      </c>
      <c r="D322" t="s">
        <v>33</v>
      </c>
      <c r="E322" t="s">
        <v>28</v>
      </c>
      <c r="F322" t="s">
        <v>34</v>
      </c>
      <c r="G322" t="s">
        <v>17</v>
      </c>
      <c r="H322">
        <v>2</v>
      </c>
      <c r="I322">
        <v>8500</v>
      </c>
      <c r="J322">
        <v>0.15</v>
      </c>
      <c r="K322">
        <v>14450</v>
      </c>
      <c r="L322" t="s">
        <v>30</v>
      </c>
    </row>
    <row r="323" spans="1:12">
      <c r="A323" t="s">
        <v>622</v>
      </c>
      <c r="B323" t="s">
        <v>438</v>
      </c>
      <c r="C323" s="1">
        <v>46213</v>
      </c>
      <c r="D323" t="s">
        <v>130</v>
      </c>
      <c r="E323" t="s">
        <v>22</v>
      </c>
      <c r="F323" t="s">
        <v>16</v>
      </c>
      <c r="G323" t="s">
        <v>23</v>
      </c>
      <c r="H323">
        <v>1</v>
      </c>
      <c r="I323">
        <v>5900</v>
      </c>
      <c r="J323">
        <v>0.15</v>
      </c>
      <c r="K323">
        <v>5015</v>
      </c>
      <c r="L323" t="s">
        <v>142</v>
      </c>
    </row>
    <row r="324" spans="1:12">
      <c r="A324" t="s">
        <v>623</v>
      </c>
      <c r="B324" t="s">
        <v>416</v>
      </c>
      <c r="C324" s="1">
        <v>46185</v>
      </c>
      <c r="D324" t="s">
        <v>100</v>
      </c>
      <c r="E324" t="s">
        <v>28</v>
      </c>
      <c r="F324" t="s">
        <v>16</v>
      </c>
      <c r="G324" t="s">
        <v>17</v>
      </c>
      <c r="H324">
        <v>1</v>
      </c>
      <c r="I324">
        <v>4200</v>
      </c>
      <c r="J324">
        <v>0.15</v>
      </c>
      <c r="K324">
        <v>3570</v>
      </c>
      <c r="L324" t="s">
        <v>68</v>
      </c>
    </row>
    <row r="325" spans="1:12">
      <c r="A325" t="s">
        <v>624</v>
      </c>
      <c r="B325" t="s">
        <v>625</v>
      </c>
      <c r="C325" s="1">
        <v>46262</v>
      </c>
      <c r="D325" t="s">
        <v>77</v>
      </c>
      <c r="E325" t="s">
        <v>54</v>
      </c>
      <c r="F325" t="s">
        <v>34</v>
      </c>
      <c r="G325" t="s">
        <v>29</v>
      </c>
      <c r="H325">
        <v>1</v>
      </c>
      <c r="I325">
        <v>7200</v>
      </c>
      <c r="J325">
        <v>0.1</v>
      </c>
      <c r="K325">
        <v>6480</v>
      </c>
      <c r="L325" t="s">
        <v>30</v>
      </c>
    </row>
    <row r="326" spans="1:12">
      <c r="A326" t="s">
        <v>626</v>
      </c>
      <c r="B326" t="s">
        <v>160</v>
      </c>
      <c r="C326" s="1">
        <v>46103</v>
      </c>
      <c r="D326" t="s">
        <v>46</v>
      </c>
      <c r="E326" t="s">
        <v>47</v>
      </c>
      <c r="F326" t="s">
        <v>16</v>
      </c>
      <c r="G326" t="s">
        <v>17</v>
      </c>
      <c r="H326">
        <v>1</v>
      </c>
      <c r="I326">
        <v>9200</v>
      </c>
      <c r="J326">
        <v>0.1</v>
      </c>
      <c r="K326">
        <v>8280</v>
      </c>
      <c r="L326" t="s">
        <v>68</v>
      </c>
    </row>
    <row r="327" spans="1:12">
      <c r="A327" t="s">
        <v>627</v>
      </c>
      <c r="B327" t="s">
        <v>90</v>
      </c>
      <c r="C327" s="1">
        <v>46036</v>
      </c>
      <c r="D327" t="s">
        <v>71</v>
      </c>
      <c r="E327" t="s">
        <v>47</v>
      </c>
      <c r="F327" t="s">
        <v>34</v>
      </c>
      <c r="G327" t="s">
        <v>17</v>
      </c>
      <c r="H327">
        <v>1</v>
      </c>
      <c r="I327">
        <v>5600</v>
      </c>
      <c r="J327">
        <v>0.05</v>
      </c>
      <c r="K327">
        <v>5320</v>
      </c>
      <c r="L327" t="s">
        <v>85</v>
      </c>
    </row>
    <row r="328" spans="1:12">
      <c r="A328" t="s">
        <v>628</v>
      </c>
      <c r="B328" t="s">
        <v>629</v>
      </c>
      <c r="C328" s="1">
        <v>46210</v>
      </c>
      <c r="D328" t="s">
        <v>88</v>
      </c>
      <c r="E328" t="s">
        <v>15</v>
      </c>
      <c r="F328" t="s">
        <v>34</v>
      </c>
      <c r="G328" t="s">
        <v>29</v>
      </c>
      <c r="H328">
        <v>2</v>
      </c>
      <c r="I328">
        <v>4800</v>
      </c>
      <c r="J328">
        <v>0.15</v>
      </c>
      <c r="K328">
        <v>8160</v>
      </c>
      <c r="L328" t="s">
        <v>97</v>
      </c>
    </row>
    <row r="329" spans="1:12">
      <c r="A329" t="s">
        <v>630</v>
      </c>
      <c r="B329" t="s">
        <v>631</v>
      </c>
      <c r="C329" s="1">
        <v>46136</v>
      </c>
      <c r="D329" t="s">
        <v>183</v>
      </c>
      <c r="E329" t="s">
        <v>15</v>
      </c>
      <c r="F329" t="s">
        <v>16</v>
      </c>
      <c r="G329" t="s">
        <v>29</v>
      </c>
      <c r="H329">
        <v>1</v>
      </c>
      <c r="I329">
        <v>9800</v>
      </c>
      <c r="J329">
        <v>0</v>
      </c>
      <c r="K329">
        <v>9800</v>
      </c>
      <c r="L329" t="s">
        <v>61</v>
      </c>
    </row>
    <row r="330" spans="1:12">
      <c r="A330" t="s">
        <v>632</v>
      </c>
      <c r="B330" t="s">
        <v>633</v>
      </c>
      <c r="C330" s="1">
        <v>46206</v>
      </c>
      <c r="D330" t="s">
        <v>183</v>
      </c>
      <c r="E330" t="s">
        <v>15</v>
      </c>
      <c r="F330" t="s">
        <v>34</v>
      </c>
      <c r="G330" t="s">
        <v>17</v>
      </c>
      <c r="H330">
        <v>1</v>
      </c>
      <c r="I330">
        <v>9800</v>
      </c>
      <c r="J330">
        <v>0.05</v>
      </c>
      <c r="K330">
        <v>9310</v>
      </c>
      <c r="L330" t="s">
        <v>18</v>
      </c>
    </row>
    <row r="331" spans="1:12">
      <c r="A331" t="s">
        <v>634</v>
      </c>
      <c r="B331" t="s">
        <v>635</v>
      </c>
      <c r="C331" s="1">
        <v>46220</v>
      </c>
      <c r="D331" t="s">
        <v>84</v>
      </c>
      <c r="E331" t="s">
        <v>22</v>
      </c>
      <c r="F331" t="s">
        <v>34</v>
      </c>
      <c r="G331" t="s">
        <v>23</v>
      </c>
      <c r="H331">
        <v>1</v>
      </c>
      <c r="I331">
        <v>8900</v>
      </c>
      <c r="J331">
        <v>0.15</v>
      </c>
      <c r="K331">
        <v>7565</v>
      </c>
      <c r="L331" t="s">
        <v>35</v>
      </c>
    </row>
    <row r="332" spans="1:12">
      <c r="A332" t="s">
        <v>636</v>
      </c>
      <c r="B332" t="s">
        <v>637</v>
      </c>
      <c r="C332" s="1">
        <v>46080</v>
      </c>
      <c r="D332" t="s">
        <v>71</v>
      </c>
      <c r="E332" t="s">
        <v>47</v>
      </c>
      <c r="F332" t="s">
        <v>34</v>
      </c>
      <c r="G332" t="s">
        <v>17</v>
      </c>
      <c r="H332">
        <v>3</v>
      </c>
      <c r="I332">
        <v>5600</v>
      </c>
      <c r="J332">
        <v>0.05</v>
      </c>
      <c r="K332">
        <v>15960</v>
      </c>
      <c r="L332" t="s">
        <v>61</v>
      </c>
    </row>
    <row r="333" spans="1:12">
      <c r="A333" t="s">
        <v>638</v>
      </c>
      <c r="B333" t="s">
        <v>639</v>
      </c>
      <c r="C333" s="1">
        <v>46072</v>
      </c>
      <c r="D333" t="s">
        <v>84</v>
      </c>
      <c r="E333" t="s">
        <v>22</v>
      </c>
      <c r="F333" t="s">
        <v>34</v>
      </c>
      <c r="G333" t="s">
        <v>17</v>
      </c>
      <c r="H333">
        <v>2</v>
      </c>
      <c r="I333">
        <v>8900</v>
      </c>
      <c r="J333">
        <v>0.15</v>
      </c>
      <c r="K333">
        <v>15130</v>
      </c>
      <c r="L333" t="s">
        <v>123</v>
      </c>
    </row>
    <row r="334" spans="1:12">
      <c r="A334" t="s">
        <v>640</v>
      </c>
      <c r="B334" t="s">
        <v>358</v>
      </c>
      <c r="C334" s="1">
        <v>46291</v>
      </c>
      <c r="D334" t="s">
        <v>41</v>
      </c>
      <c r="E334" t="s">
        <v>15</v>
      </c>
      <c r="F334" t="s">
        <v>16</v>
      </c>
      <c r="G334" t="s">
        <v>17</v>
      </c>
      <c r="H334">
        <v>2</v>
      </c>
      <c r="I334">
        <v>5400</v>
      </c>
      <c r="J334">
        <v>0.05</v>
      </c>
      <c r="K334">
        <v>10260</v>
      </c>
      <c r="L334" t="s">
        <v>123</v>
      </c>
    </row>
    <row r="335" spans="1:12">
      <c r="A335" t="s">
        <v>641</v>
      </c>
      <c r="B335" t="s">
        <v>639</v>
      </c>
      <c r="C335" s="1">
        <v>46236</v>
      </c>
      <c r="D335" t="s">
        <v>88</v>
      </c>
      <c r="E335" t="s">
        <v>15</v>
      </c>
      <c r="F335" t="s">
        <v>34</v>
      </c>
      <c r="G335" t="s">
        <v>23</v>
      </c>
      <c r="H335">
        <v>3</v>
      </c>
      <c r="I335">
        <v>4800</v>
      </c>
      <c r="J335">
        <v>0.1</v>
      </c>
      <c r="K335">
        <v>12960</v>
      </c>
      <c r="L335" t="s">
        <v>24</v>
      </c>
    </row>
    <row r="336" spans="1:12">
      <c r="A336" t="s">
        <v>642</v>
      </c>
      <c r="B336" t="s">
        <v>164</v>
      </c>
      <c r="C336" s="1">
        <v>46128</v>
      </c>
      <c r="D336" t="s">
        <v>96</v>
      </c>
      <c r="E336" t="s">
        <v>22</v>
      </c>
      <c r="F336" t="s">
        <v>16</v>
      </c>
      <c r="G336" t="s">
        <v>17</v>
      </c>
      <c r="H336">
        <v>2</v>
      </c>
      <c r="I336">
        <v>3200</v>
      </c>
      <c r="J336">
        <v>0.05</v>
      </c>
      <c r="K336">
        <v>6080</v>
      </c>
      <c r="L336" t="s">
        <v>142</v>
      </c>
    </row>
    <row r="337" spans="1:12">
      <c r="A337" t="s">
        <v>643</v>
      </c>
      <c r="B337" t="s">
        <v>644</v>
      </c>
      <c r="C337" s="1">
        <v>46208</v>
      </c>
      <c r="D337" t="s">
        <v>84</v>
      </c>
      <c r="E337" t="s">
        <v>22</v>
      </c>
      <c r="F337" t="s">
        <v>34</v>
      </c>
      <c r="G337" t="s">
        <v>17</v>
      </c>
      <c r="H337">
        <v>1</v>
      </c>
      <c r="I337">
        <v>8900</v>
      </c>
      <c r="J337">
        <v>0.05</v>
      </c>
      <c r="K337">
        <v>8455</v>
      </c>
      <c r="L337" t="s">
        <v>135</v>
      </c>
    </row>
    <row r="338" spans="1:12">
      <c r="A338" t="s">
        <v>645</v>
      </c>
      <c r="B338" t="s">
        <v>646</v>
      </c>
      <c r="C338" s="1">
        <v>46236</v>
      </c>
      <c r="D338" t="s">
        <v>112</v>
      </c>
      <c r="E338" t="s">
        <v>15</v>
      </c>
      <c r="F338" t="s">
        <v>34</v>
      </c>
      <c r="G338" t="s">
        <v>23</v>
      </c>
      <c r="H338">
        <v>1</v>
      </c>
      <c r="I338">
        <v>3200</v>
      </c>
      <c r="J338">
        <v>0.1</v>
      </c>
      <c r="K338">
        <v>2880</v>
      </c>
      <c r="L338" t="s">
        <v>123</v>
      </c>
    </row>
    <row r="339" spans="1:12">
      <c r="A339" t="s">
        <v>647</v>
      </c>
      <c r="B339" t="s">
        <v>648</v>
      </c>
      <c r="C339" s="1">
        <v>46266</v>
      </c>
      <c r="D339" t="s">
        <v>14</v>
      </c>
      <c r="E339" t="s">
        <v>15</v>
      </c>
      <c r="F339" t="s">
        <v>34</v>
      </c>
      <c r="G339" t="s">
        <v>17</v>
      </c>
      <c r="H339">
        <v>1</v>
      </c>
      <c r="I339">
        <v>7600</v>
      </c>
      <c r="J339">
        <v>0</v>
      </c>
      <c r="K339">
        <v>7600</v>
      </c>
      <c r="L339" t="s">
        <v>68</v>
      </c>
    </row>
    <row r="340" spans="1:12">
      <c r="A340" t="s">
        <v>649</v>
      </c>
      <c r="B340" t="s">
        <v>650</v>
      </c>
      <c r="C340" s="1">
        <v>46158</v>
      </c>
      <c r="D340" t="s">
        <v>115</v>
      </c>
      <c r="E340" t="s">
        <v>54</v>
      </c>
      <c r="F340" t="s">
        <v>34</v>
      </c>
      <c r="G340" t="s">
        <v>17</v>
      </c>
      <c r="H340">
        <v>1</v>
      </c>
      <c r="I340">
        <v>6800</v>
      </c>
      <c r="J340">
        <v>0</v>
      </c>
      <c r="K340">
        <v>6800</v>
      </c>
      <c r="L340" t="s">
        <v>68</v>
      </c>
    </row>
    <row r="341" spans="1:12">
      <c r="A341" t="s">
        <v>651</v>
      </c>
      <c r="B341" t="s">
        <v>652</v>
      </c>
      <c r="C341" s="1">
        <v>46039</v>
      </c>
      <c r="D341" t="s">
        <v>27</v>
      </c>
      <c r="E341" t="s">
        <v>28</v>
      </c>
      <c r="F341" t="s">
        <v>34</v>
      </c>
      <c r="G341" t="s">
        <v>29</v>
      </c>
      <c r="H341">
        <v>2</v>
      </c>
      <c r="I341">
        <v>3500</v>
      </c>
      <c r="J341">
        <v>0.1</v>
      </c>
      <c r="K341">
        <v>6300</v>
      </c>
      <c r="L341" t="s">
        <v>123</v>
      </c>
    </row>
    <row r="342" spans="1:12">
      <c r="A342" t="s">
        <v>653</v>
      </c>
      <c r="B342" t="s">
        <v>654</v>
      </c>
      <c r="C342" s="1">
        <v>46081</v>
      </c>
      <c r="D342" t="s">
        <v>71</v>
      </c>
      <c r="E342" t="s">
        <v>47</v>
      </c>
      <c r="F342" t="s">
        <v>16</v>
      </c>
      <c r="G342" t="s">
        <v>29</v>
      </c>
      <c r="H342">
        <v>1</v>
      </c>
      <c r="I342">
        <v>5600</v>
      </c>
      <c r="J342">
        <v>0.05</v>
      </c>
      <c r="K342">
        <v>5320</v>
      </c>
      <c r="L342" t="s">
        <v>72</v>
      </c>
    </row>
    <row r="343" spans="1:12">
      <c r="A343" t="s">
        <v>655</v>
      </c>
      <c r="B343" t="s">
        <v>656</v>
      </c>
      <c r="C343" s="1">
        <v>46294</v>
      </c>
      <c r="D343" t="s">
        <v>183</v>
      </c>
      <c r="E343" t="s">
        <v>15</v>
      </c>
      <c r="F343" t="s">
        <v>34</v>
      </c>
      <c r="G343" t="s">
        <v>23</v>
      </c>
      <c r="H343">
        <v>1</v>
      </c>
      <c r="I343">
        <v>9800</v>
      </c>
      <c r="J343">
        <v>0.1</v>
      </c>
      <c r="K343">
        <v>8820</v>
      </c>
      <c r="L343" t="s">
        <v>135</v>
      </c>
    </row>
    <row r="344" spans="1:12">
      <c r="A344" t="s">
        <v>657</v>
      </c>
      <c r="B344" t="s">
        <v>207</v>
      </c>
      <c r="C344" s="1">
        <v>46195</v>
      </c>
      <c r="D344" t="s">
        <v>27</v>
      </c>
      <c r="E344" t="s">
        <v>28</v>
      </c>
      <c r="F344" t="s">
        <v>16</v>
      </c>
      <c r="G344" t="s">
        <v>17</v>
      </c>
      <c r="H344">
        <v>1</v>
      </c>
      <c r="I344">
        <v>3500</v>
      </c>
      <c r="J344">
        <v>0.15</v>
      </c>
      <c r="K344">
        <v>2975</v>
      </c>
      <c r="L344" t="s">
        <v>113</v>
      </c>
    </row>
    <row r="345" spans="1:12">
      <c r="A345" t="s">
        <v>658</v>
      </c>
      <c r="B345" t="s">
        <v>70</v>
      </c>
      <c r="C345" s="1">
        <v>46191</v>
      </c>
      <c r="D345" t="s">
        <v>84</v>
      </c>
      <c r="E345" t="s">
        <v>22</v>
      </c>
      <c r="F345" t="s">
        <v>16</v>
      </c>
      <c r="G345" t="s">
        <v>29</v>
      </c>
      <c r="H345">
        <v>1</v>
      </c>
      <c r="I345">
        <v>8900</v>
      </c>
      <c r="J345">
        <v>0</v>
      </c>
      <c r="K345">
        <v>8900</v>
      </c>
      <c r="L345" t="s">
        <v>18</v>
      </c>
    </row>
    <row r="346" spans="1:12">
      <c r="A346" t="s">
        <v>659</v>
      </c>
      <c r="B346" t="s">
        <v>660</v>
      </c>
      <c r="C346" s="1">
        <v>46160</v>
      </c>
      <c r="D346" t="s">
        <v>60</v>
      </c>
      <c r="E346" t="s">
        <v>28</v>
      </c>
      <c r="F346" t="s">
        <v>16</v>
      </c>
      <c r="G346" t="s">
        <v>17</v>
      </c>
      <c r="H346">
        <v>3</v>
      </c>
      <c r="I346">
        <v>12800</v>
      </c>
      <c r="J346">
        <v>0</v>
      </c>
      <c r="K346">
        <v>38400</v>
      </c>
      <c r="L346" t="s">
        <v>64</v>
      </c>
    </row>
    <row r="347" spans="1:12">
      <c r="A347" t="s">
        <v>661</v>
      </c>
      <c r="B347" t="s">
        <v>662</v>
      </c>
      <c r="C347" s="1">
        <v>46252</v>
      </c>
      <c r="D347" t="s">
        <v>46</v>
      </c>
      <c r="E347" t="s">
        <v>47</v>
      </c>
      <c r="F347" t="s">
        <v>16</v>
      </c>
      <c r="G347" t="s">
        <v>17</v>
      </c>
      <c r="H347">
        <v>3</v>
      </c>
      <c r="I347">
        <v>9200</v>
      </c>
      <c r="J347">
        <v>0.1</v>
      </c>
      <c r="K347">
        <v>24840</v>
      </c>
      <c r="L347" t="s">
        <v>72</v>
      </c>
    </row>
    <row r="348" spans="1:12">
      <c r="A348" t="s">
        <v>663</v>
      </c>
      <c r="B348" t="s">
        <v>664</v>
      </c>
      <c r="C348" s="1">
        <v>46057</v>
      </c>
      <c r="D348" t="s">
        <v>21</v>
      </c>
      <c r="E348" t="s">
        <v>22</v>
      </c>
      <c r="F348" t="s">
        <v>16</v>
      </c>
      <c r="G348" t="s">
        <v>17</v>
      </c>
      <c r="H348">
        <v>4</v>
      </c>
      <c r="I348">
        <v>7600</v>
      </c>
      <c r="J348">
        <v>0.15</v>
      </c>
      <c r="K348">
        <v>25840</v>
      </c>
      <c r="L348" t="s">
        <v>123</v>
      </c>
    </row>
    <row r="349" spans="1:12">
      <c r="A349" t="s">
        <v>665</v>
      </c>
      <c r="B349" t="s">
        <v>666</v>
      </c>
      <c r="C349" s="1">
        <v>46198</v>
      </c>
      <c r="D349" t="s">
        <v>91</v>
      </c>
      <c r="E349" t="s">
        <v>22</v>
      </c>
      <c r="F349" t="s">
        <v>16</v>
      </c>
      <c r="G349" t="s">
        <v>23</v>
      </c>
      <c r="H349">
        <v>2</v>
      </c>
      <c r="I349">
        <v>11500</v>
      </c>
      <c r="J349">
        <v>0.1</v>
      </c>
      <c r="K349">
        <v>20700</v>
      </c>
      <c r="L349" t="s">
        <v>38</v>
      </c>
    </row>
    <row r="350" spans="1:12">
      <c r="A350" t="s">
        <v>667</v>
      </c>
      <c r="B350" t="s">
        <v>668</v>
      </c>
      <c r="C350" s="1">
        <v>46062</v>
      </c>
      <c r="D350" t="s">
        <v>33</v>
      </c>
      <c r="E350" t="s">
        <v>28</v>
      </c>
      <c r="F350" t="s">
        <v>16</v>
      </c>
      <c r="G350" t="s">
        <v>17</v>
      </c>
      <c r="H350">
        <v>1</v>
      </c>
      <c r="I350">
        <v>8500</v>
      </c>
      <c r="J350">
        <v>0.15</v>
      </c>
      <c r="K350">
        <v>7225</v>
      </c>
      <c r="L350" t="s">
        <v>72</v>
      </c>
    </row>
    <row r="351" spans="1:12">
      <c r="A351" t="s">
        <v>669</v>
      </c>
      <c r="B351" t="s">
        <v>499</v>
      </c>
      <c r="C351" s="1">
        <v>46288</v>
      </c>
      <c r="D351" t="s">
        <v>118</v>
      </c>
      <c r="E351" t="s">
        <v>47</v>
      </c>
      <c r="F351" t="s">
        <v>34</v>
      </c>
      <c r="G351" t="s">
        <v>29</v>
      </c>
      <c r="H351">
        <v>1</v>
      </c>
      <c r="I351">
        <v>4100</v>
      </c>
      <c r="J351">
        <v>0.05</v>
      </c>
      <c r="K351">
        <v>3895</v>
      </c>
      <c r="L351" t="s">
        <v>85</v>
      </c>
    </row>
    <row r="352" spans="1:12">
      <c r="A352" t="s">
        <v>670</v>
      </c>
      <c r="B352" t="s">
        <v>381</v>
      </c>
      <c r="C352" s="1">
        <v>46138</v>
      </c>
      <c r="D352" t="s">
        <v>60</v>
      </c>
      <c r="E352" t="s">
        <v>28</v>
      </c>
      <c r="F352" t="s">
        <v>34</v>
      </c>
      <c r="G352" t="s">
        <v>17</v>
      </c>
      <c r="H352">
        <v>2</v>
      </c>
      <c r="I352">
        <v>12800</v>
      </c>
      <c r="J352">
        <v>0.1</v>
      </c>
      <c r="K352">
        <v>23040</v>
      </c>
      <c r="L352" t="s">
        <v>68</v>
      </c>
    </row>
    <row r="353" spans="1:12">
      <c r="A353" t="s">
        <v>671</v>
      </c>
      <c r="B353" t="s">
        <v>356</v>
      </c>
      <c r="C353" s="1">
        <v>46148</v>
      </c>
      <c r="D353" t="s">
        <v>100</v>
      </c>
      <c r="E353" t="s">
        <v>28</v>
      </c>
      <c r="F353" t="s">
        <v>34</v>
      </c>
      <c r="G353" t="s">
        <v>17</v>
      </c>
      <c r="H353">
        <v>1</v>
      </c>
      <c r="I353">
        <v>4200</v>
      </c>
      <c r="J353">
        <v>0.1</v>
      </c>
      <c r="K353">
        <v>3780</v>
      </c>
      <c r="L353" t="s">
        <v>123</v>
      </c>
    </row>
    <row r="354" spans="1:12">
      <c r="A354" t="s">
        <v>672</v>
      </c>
      <c r="B354" t="s">
        <v>520</v>
      </c>
      <c r="C354" s="1">
        <v>46089</v>
      </c>
      <c r="D354" t="s">
        <v>389</v>
      </c>
      <c r="E354" t="s">
        <v>47</v>
      </c>
      <c r="F354" t="s">
        <v>16</v>
      </c>
      <c r="G354" t="s">
        <v>17</v>
      </c>
      <c r="H354">
        <v>1</v>
      </c>
      <c r="I354">
        <v>7400</v>
      </c>
      <c r="J354">
        <v>0.15</v>
      </c>
      <c r="K354">
        <v>6290</v>
      </c>
      <c r="L354" t="s">
        <v>123</v>
      </c>
    </row>
    <row r="355" spans="1:12">
      <c r="A355" t="s">
        <v>673</v>
      </c>
      <c r="B355" t="s">
        <v>330</v>
      </c>
      <c r="C355" s="1">
        <v>46026</v>
      </c>
      <c r="D355" t="s">
        <v>88</v>
      </c>
      <c r="E355" t="s">
        <v>15</v>
      </c>
      <c r="F355" t="s">
        <v>34</v>
      </c>
      <c r="G355" t="s">
        <v>17</v>
      </c>
      <c r="H355">
        <v>1</v>
      </c>
      <c r="I355">
        <v>4800</v>
      </c>
      <c r="J355">
        <v>0.05</v>
      </c>
      <c r="K355">
        <v>4560</v>
      </c>
      <c r="L355" t="s">
        <v>142</v>
      </c>
    </row>
    <row r="356" spans="1:12">
      <c r="A356" t="s">
        <v>674</v>
      </c>
      <c r="B356" t="s">
        <v>281</v>
      </c>
      <c r="C356" s="1">
        <v>46194</v>
      </c>
      <c r="D356" t="s">
        <v>33</v>
      </c>
      <c r="E356" t="s">
        <v>28</v>
      </c>
      <c r="F356" t="s">
        <v>16</v>
      </c>
      <c r="G356" t="s">
        <v>23</v>
      </c>
      <c r="H356">
        <v>3</v>
      </c>
      <c r="I356">
        <v>8500</v>
      </c>
      <c r="J356">
        <v>0.05</v>
      </c>
      <c r="K356">
        <v>24225</v>
      </c>
      <c r="L356" t="s">
        <v>142</v>
      </c>
    </row>
    <row r="357" spans="1:12">
      <c r="A357" t="s">
        <v>675</v>
      </c>
      <c r="B357" t="s">
        <v>676</v>
      </c>
      <c r="C357" s="1">
        <v>46262</v>
      </c>
      <c r="D357" t="s">
        <v>41</v>
      </c>
      <c r="E357" t="s">
        <v>15</v>
      </c>
      <c r="F357" t="s">
        <v>34</v>
      </c>
      <c r="G357" t="s">
        <v>17</v>
      </c>
      <c r="H357">
        <v>4</v>
      </c>
      <c r="I357">
        <v>5400</v>
      </c>
      <c r="J357">
        <v>0.1</v>
      </c>
      <c r="K357">
        <v>19440</v>
      </c>
      <c r="L357" t="s">
        <v>123</v>
      </c>
    </row>
    <row r="358" spans="1:12">
      <c r="A358" t="s">
        <v>677</v>
      </c>
      <c r="B358" t="s">
        <v>464</v>
      </c>
      <c r="C358" s="1">
        <v>46211</v>
      </c>
      <c r="D358" t="s">
        <v>91</v>
      </c>
      <c r="E358" t="s">
        <v>22</v>
      </c>
      <c r="F358" t="s">
        <v>34</v>
      </c>
      <c r="G358" t="s">
        <v>17</v>
      </c>
      <c r="H358">
        <v>1</v>
      </c>
      <c r="I358">
        <v>11500</v>
      </c>
      <c r="J358">
        <v>0.15</v>
      </c>
      <c r="K358">
        <v>9775</v>
      </c>
      <c r="L358" t="s">
        <v>24</v>
      </c>
    </row>
    <row r="359" spans="1:12">
      <c r="A359" t="s">
        <v>678</v>
      </c>
      <c r="B359" t="s">
        <v>679</v>
      </c>
      <c r="C359" s="1">
        <v>46145</v>
      </c>
      <c r="D359" t="s">
        <v>77</v>
      </c>
      <c r="E359" t="s">
        <v>54</v>
      </c>
      <c r="F359" t="s">
        <v>16</v>
      </c>
      <c r="G359" t="s">
        <v>17</v>
      </c>
      <c r="H359">
        <v>1</v>
      </c>
      <c r="I359">
        <v>7200</v>
      </c>
      <c r="J359">
        <v>0.05</v>
      </c>
      <c r="K359">
        <v>6840</v>
      </c>
      <c r="L359" t="s">
        <v>142</v>
      </c>
    </row>
    <row r="360" spans="1:12">
      <c r="A360" t="s">
        <v>680</v>
      </c>
      <c r="B360" t="s">
        <v>681</v>
      </c>
      <c r="C360" s="1">
        <v>46195</v>
      </c>
      <c r="D360" t="s">
        <v>88</v>
      </c>
      <c r="E360" t="s">
        <v>15</v>
      </c>
      <c r="F360" t="s">
        <v>34</v>
      </c>
      <c r="G360" t="s">
        <v>17</v>
      </c>
      <c r="H360">
        <v>2</v>
      </c>
      <c r="I360">
        <v>4800</v>
      </c>
      <c r="J360">
        <v>0</v>
      </c>
      <c r="K360">
        <v>9600</v>
      </c>
      <c r="L360" t="s">
        <v>38</v>
      </c>
    </row>
    <row r="361" spans="1:12">
      <c r="A361" t="s">
        <v>682</v>
      </c>
      <c r="B361" t="s">
        <v>247</v>
      </c>
      <c r="C361" s="1">
        <v>46257</v>
      </c>
      <c r="D361" t="s">
        <v>118</v>
      </c>
      <c r="E361" t="s">
        <v>47</v>
      </c>
      <c r="F361" t="s">
        <v>16</v>
      </c>
      <c r="G361" t="s">
        <v>17</v>
      </c>
      <c r="H361">
        <v>2</v>
      </c>
      <c r="I361">
        <v>4100</v>
      </c>
      <c r="J361">
        <v>0.1</v>
      </c>
      <c r="K361">
        <v>7380</v>
      </c>
      <c r="L361" t="s">
        <v>64</v>
      </c>
    </row>
    <row r="362" spans="1:12">
      <c r="A362" t="s">
        <v>683</v>
      </c>
      <c r="B362" t="s">
        <v>684</v>
      </c>
      <c r="C362" s="1">
        <v>46195</v>
      </c>
      <c r="D362" t="s">
        <v>53</v>
      </c>
      <c r="E362" t="s">
        <v>54</v>
      </c>
      <c r="F362" t="s">
        <v>16</v>
      </c>
      <c r="G362" t="s">
        <v>17</v>
      </c>
      <c r="H362">
        <v>4</v>
      </c>
      <c r="I362">
        <v>4500</v>
      </c>
      <c r="J362">
        <v>0.1</v>
      </c>
      <c r="K362">
        <v>16200</v>
      </c>
      <c r="L362" t="s">
        <v>135</v>
      </c>
    </row>
    <row r="363" spans="1:12">
      <c r="A363" t="s">
        <v>685</v>
      </c>
      <c r="B363" t="s">
        <v>686</v>
      </c>
      <c r="C363" s="1">
        <v>46045</v>
      </c>
      <c r="D363" t="s">
        <v>115</v>
      </c>
      <c r="E363" t="s">
        <v>54</v>
      </c>
      <c r="F363" t="s">
        <v>16</v>
      </c>
      <c r="G363" t="s">
        <v>17</v>
      </c>
      <c r="H363">
        <v>1</v>
      </c>
      <c r="I363">
        <v>6800</v>
      </c>
      <c r="J363">
        <v>0</v>
      </c>
      <c r="K363">
        <v>6800</v>
      </c>
      <c r="L363" t="s">
        <v>61</v>
      </c>
    </row>
    <row r="364" spans="1:12">
      <c r="A364" t="s">
        <v>687</v>
      </c>
      <c r="B364" t="s">
        <v>654</v>
      </c>
      <c r="C364" s="1">
        <v>46072</v>
      </c>
      <c r="D364" t="s">
        <v>77</v>
      </c>
      <c r="E364" t="s">
        <v>54</v>
      </c>
      <c r="F364" t="s">
        <v>16</v>
      </c>
      <c r="G364" t="s">
        <v>17</v>
      </c>
      <c r="H364">
        <v>4</v>
      </c>
      <c r="I364">
        <v>7200</v>
      </c>
      <c r="J364">
        <v>0.15</v>
      </c>
      <c r="K364">
        <v>24480</v>
      </c>
      <c r="L364" t="s">
        <v>72</v>
      </c>
    </row>
    <row r="365" spans="1:12">
      <c r="A365" t="s">
        <v>688</v>
      </c>
      <c r="B365" t="s">
        <v>87</v>
      </c>
      <c r="C365" s="1">
        <v>46279</v>
      </c>
      <c r="D365" t="s">
        <v>96</v>
      </c>
      <c r="E365" t="s">
        <v>22</v>
      </c>
      <c r="F365" t="s">
        <v>34</v>
      </c>
      <c r="G365" t="s">
        <v>17</v>
      </c>
      <c r="H365">
        <v>1</v>
      </c>
      <c r="I365">
        <v>3200</v>
      </c>
      <c r="J365">
        <v>0</v>
      </c>
      <c r="K365">
        <v>3200</v>
      </c>
      <c r="L365" t="s">
        <v>30</v>
      </c>
    </row>
    <row r="366" spans="1:12">
      <c r="A366" t="s">
        <v>689</v>
      </c>
      <c r="B366" t="s">
        <v>690</v>
      </c>
      <c r="C366" s="1">
        <v>46051</v>
      </c>
      <c r="D366" t="s">
        <v>389</v>
      </c>
      <c r="E366" t="s">
        <v>47</v>
      </c>
      <c r="F366" t="s">
        <v>34</v>
      </c>
      <c r="G366" t="s">
        <v>17</v>
      </c>
      <c r="H366">
        <v>1</v>
      </c>
      <c r="I366">
        <v>7400</v>
      </c>
      <c r="J366">
        <v>0</v>
      </c>
      <c r="K366">
        <v>7400</v>
      </c>
      <c r="L366" t="s">
        <v>18</v>
      </c>
    </row>
    <row r="367" spans="1:12">
      <c r="A367" t="s">
        <v>691</v>
      </c>
      <c r="B367" t="s">
        <v>350</v>
      </c>
      <c r="C367" s="1">
        <v>46025</v>
      </c>
      <c r="D367" t="s">
        <v>21</v>
      </c>
      <c r="E367" t="s">
        <v>22</v>
      </c>
      <c r="F367" t="s">
        <v>16</v>
      </c>
      <c r="G367" t="s">
        <v>29</v>
      </c>
      <c r="H367">
        <v>1</v>
      </c>
      <c r="I367">
        <v>7600</v>
      </c>
      <c r="J367">
        <v>0.1</v>
      </c>
      <c r="K367">
        <v>6840</v>
      </c>
      <c r="L367" t="s">
        <v>113</v>
      </c>
    </row>
    <row r="368" spans="1:12">
      <c r="A368" t="s">
        <v>692</v>
      </c>
      <c r="B368" t="s">
        <v>693</v>
      </c>
      <c r="C368" s="1">
        <v>46214</v>
      </c>
      <c r="D368" t="s">
        <v>112</v>
      </c>
      <c r="E368" t="s">
        <v>15</v>
      </c>
      <c r="F368" t="s">
        <v>16</v>
      </c>
      <c r="G368" t="s">
        <v>29</v>
      </c>
      <c r="H368">
        <v>1</v>
      </c>
      <c r="I368">
        <v>3200</v>
      </c>
      <c r="J368">
        <v>0.2</v>
      </c>
      <c r="K368">
        <v>2560</v>
      </c>
      <c r="L368" t="s">
        <v>18</v>
      </c>
    </row>
    <row r="369" spans="1:12">
      <c r="A369" t="s">
        <v>694</v>
      </c>
      <c r="B369" t="s">
        <v>488</v>
      </c>
      <c r="C369" s="1">
        <v>46051</v>
      </c>
      <c r="D369" t="s">
        <v>60</v>
      </c>
      <c r="E369" t="s">
        <v>28</v>
      </c>
      <c r="F369" t="s">
        <v>34</v>
      </c>
      <c r="G369" t="s">
        <v>29</v>
      </c>
      <c r="H369">
        <v>2</v>
      </c>
      <c r="I369">
        <v>12800</v>
      </c>
      <c r="J369">
        <v>0</v>
      </c>
      <c r="K369">
        <v>25600</v>
      </c>
      <c r="L369" t="s">
        <v>64</v>
      </c>
    </row>
    <row r="370" spans="1:12">
      <c r="A370" t="s">
        <v>695</v>
      </c>
      <c r="B370" t="s">
        <v>696</v>
      </c>
      <c r="C370" s="1">
        <v>46290</v>
      </c>
      <c r="D370" t="s">
        <v>67</v>
      </c>
      <c r="E370" t="s">
        <v>54</v>
      </c>
      <c r="F370" t="s">
        <v>16</v>
      </c>
      <c r="G370" t="s">
        <v>17</v>
      </c>
      <c r="H370">
        <v>1</v>
      </c>
      <c r="I370">
        <v>2800</v>
      </c>
      <c r="J370">
        <v>0</v>
      </c>
      <c r="K370">
        <v>2800</v>
      </c>
      <c r="L370" t="s">
        <v>30</v>
      </c>
    </row>
    <row r="371" spans="1:12">
      <c r="A371" t="s">
        <v>697</v>
      </c>
      <c r="B371" t="s">
        <v>99</v>
      </c>
      <c r="C371" s="1">
        <v>46102</v>
      </c>
      <c r="D371" t="s">
        <v>100</v>
      </c>
      <c r="E371" t="s">
        <v>28</v>
      </c>
      <c r="F371" t="s">
        <v>16</v>
      </c>
      <c r="G371" t="s">
        <v>17</v>
      </c>
      <c r="H371">
        <v>2</v>
      </c>
      <c r="I371">
        <v>4200</v>
      </c>
      <c r="J371">
        <v>0.1</v>
      </c>
      <c r="K371">
        <v>7560</v>
      </c>
      <c r="L371" t="s">
        <v>72</v>
      </c>
    </row>
    <row r="372" spans="1:12">
      <c r="A372" t="s">
        <v>698</v>
      </c>
      <c r="B372" t="s">
        <v>699</v>
      </c>
      <c r="C372" s="1">
        <v>46168</v>
      </c>
      <c r="D372" t="s">
        <v>27</v>
      </c>
      <c r="E372" t="s">
        <v>28</v>
      </c>
      <c r="F372" t="s">
        <v>34</v>
      </c>
      <c r="G372" t="s">
        <v>17</v>
      </c>
      <c r="H372">
        <v>3</v>
      </c>
      <c r="I372">
        <v>3500</v>
      </c>
      <c r="J372">
        <v>0</v>
      </c>
      <c r="K372">
        <v>10500</v>
      </c>
      <c r="L372" t="s">
        <v>123</v>
      </c>
    </row>
    <row r="373" spans="1:12">
      <c r="A373" t="s">
        <v>700</v>
      </c>
      <c r="B373" t="s">
        <v>701</v>
      </c>
      <c r="C373" s="1">
        <v>46250</v>
      </c>
      <c r="D373" t="s">
        <v>50</v>
      </c>
      <c r="E373" t="s">
        <v>28</v>
      </c>
      <c r="F373" t="s">
        <v>34</v>
      </c>
      <c r="G373" t="s">
        <v>23</v>
      </c>
      <c r="H373">
        <v>2</v>
      </c>
      <c r="I373">
        <v>6200</v>
      </c>
      <c r="J373">
        <v>0</v>
      </c>
      <c r="K373">
        <v>12400</v>
      </c>
      <c r="L373" t="s">
        <v>35</v>
      </c>
    </row>
    <row r="374" spans="1:12">
      <c r="A374" t="s">
        <v>702</v>
      </c>
      <c r="B374" t="s">
        <v>703</v>
      </c>
      <c r="C374" s="1">
        <v>46151</v>
      </c>
      <c r="D374" t="s">
        <v>27</v>
      </c>
      <c r="E374" t="s">
        <v>28</v>
      </c>
      <c r="F374" t="s">
        <v>16</v>
      </c>
      <c r="G374" t="s">
        <v>17</v>
      </c>
      <c r="H374">
        <v>1</v>
      </c>
      <c r="I374">
        <v>3500</v>
      </c>
      <c r="J374">
        <v>0.1</v>
      </c>
      <c r="K374">
        <v>3150</v>
      </c>
      <c r="L374" t="s">
        <v>142</v>
      </c>
    </row>
    <row r="375" spans="1:12">
      <c r="A375" t="s">
        <v>704</v>
      </c>
      <c r="B375" t="s">
        <v>590</v>
      </c>
      <c r="C375" s="1">
        <v>46056</v>
      </c>
      <c r="D375" t="s">
        <v>96</v>
      </c>
      <c r="E375" t="s">
        <v>22</v>
      </c>
      <c r="F375" t="s">
        <v>34</v>
      </c>
      <c r="G375" t="s">
        <v>23</v>
      </c>
      <c r="H375">
        <v>1</v>
      </c>
      <c r="I375">
        <v>3200</v>
      </c>
      <c r="J375">
        <v>0.05</v>
      </c>
      <c r="K375">
        <v>3040</v>
      </c>
      <c r="L375" t="s">
        <v>61</v>
      </c>
    </row>
    <row r="376" spans="1:12">
      <c r="A376" t="s">
        <v>705</v>
      </c>
      <c r="B376" t="s">
        <v>59</v>
      </c>
      <c r="C376" s="1">
        <v>46136</v>
      </c>
      <c r="D376" t="s">
        <v>53</v>
      </c>
      <c r="E376" t="s">
        <v>54</v>
      </c>
      <c r="F376" t="s">
        <v>16</v>
      </c>
      <c r="G376" t="s">
        <v>17</v>
      </c>
      <c r="H376">
        <v>2</v>
      </c>
      <c r="I376">
        <v>4500</v>
      </c>
      <c r="J376">
        <v>0.1</v>
      </c>
      <c r="K376">
        <v>8100</v>
      </c>
      <c r="L376" t="s">
        <v>135</v>
      </c>
    </row>
    <row r="377" spans="1:12">
      <c r="A377" t="s">
        <v>706</v>
      </c>
      <c r="B377" t="s">
        <v>707</v>
      </c>
      <c r="C377" s="1">
        <v>46036</v>
      </c>
      <c r="D377" t="s">
        <v>96</v>
      </c>
      <c r="E377" t="s">
        <v>22</v>
      </c>
      <c r="F377" t="s">
        <v>16</v>
      </c>
      <c r="G377" t="s">
        <v>29</v>
      </c>
      <c r="H377">
        <v>4</v>
      </c>
      <c r="I377">
        <v>3200</v>
      </c>
      <c r="J377">
        <v>0.05</v>
      </c>
      <c r="K377">
        <v>12160</v>
      </c>
      <c r="L377" t="s">
        <v>113</v>
      </c>
    </row>
    <row r="378" spans="1:12">
      <c r="A378" t="s">
        <v>708</v>
      </c>
      <c r="B378" t="s">
        <v>709</v>
      </c>
      <c r="C378" s="1">
        <v>46188</v>
      </c>
      <c r="D378" t="s">
        <v>27</v>
      </c>
      <c r="E378" t="s">
        <v>28</v>
      </c>
      <c r="F378" t="s">
        <v>16</v>
      </c>
      <c r="G378" t="s">
        <v>17</v>
      </c>
      <c r="H378">
        <v>2</v>
      </c>
      <c r="I378">
        <v>3500</v>
      </c>
      <c r="J378">
        <v>0.1</v>
      </c>
      <c r="K378">
        <v>6300</v>
      </c>
      <c r="L378" t="s">
        <v>68</v>
      </c>
    </row>
    <row r="379" spans="1:12">
      <c r="A379" t="s">
        <v>710</v>
      </c>
      <c r="B379" t="s">
        <v>127</v>
      </c>
      <c r="C379" s="1">
        <v>46133</v>
      </c>
      <c r="D379" t="s">
        <v>33</v>
      </c>
      <c r="E379" t="s">
        <v>28</v>
      </c>
      <c r="F379" t="s">
        <v>34</v>
      </c>
      <c r="G379" t="s">
        <v>23</v>
      </c>
      <c r="H379">
        <v>1</v>
      </c>
      <c r="I379">
        <v>8500</v>
      </c>
      <c r="J379">
        <v>0.1</v>
      </c>
      <c r="K379">
        <v>7650</v>
      </c>
      <c r="L379" t="s">
        <v>68</v>
      </c>
    </row>
    <row r="380" spans="1:12">
      <c r="A380" t="s">
        <v>711</v>
      </c>
      <c r="B380" t="s">
        <v>95</v>
      </c>
      <c r="C380" s="1">
        <v>46028</v>
      </c>
      <c r="D380" t="s">
        <v>53</v>
      </c>
      <c r="E380" t="s">
        <v>54</v>
      </c>
      <c r="F380" t="s">
        <v>16</v>
      </c>
      <c r="G380" t="s">
        <v>23</v>
      </c>
      <c r="H380">
        <v>2</v>
      </c>
      <c r="I380">
        <v>4500</v>
      </c>
      <c r="J380">
        <v>0</v>
      </c>
      <c r="K380">
        <v>9000</v>
      </c>
      <c r="L380" t="s">
        <v>113</v>
      </c>
    </row>
    <row r="381" spans="1:12">
      <c r="A381" t="s">
        <v>712</v>
      </c>
      <c r="B381" t="s">
        <v>556</v>
      </c>
      <c r="C381" s="1">
        <v>46214</v>
      </c>
      <c r="D381" t="s">
        <v>14</v>
      </c>
      <c r="E381" t="s">
        <v>15</v>
      </c>
      <c r="F381" t="s">
        <v>16</v>
      </c>
      <c r="G381" t="s">
        <v>29</v>
      </c>
      <c r="H381">
        <v>1</v>
      </c>
      <c r="I381">
        <v>7600</v>
      </c>
      <c r="J381">
        <v>0.1</v>
      </c>
      <c r="K381">
        <v>6840</v>
      </c>
      <c r="L381" t="s">
        <v>61</v>
      </c>
    </row>
    <row r="382" spans="1:12">
      <c r="A382" t="s">
        <v>713</v>
      </c>
      <c r="B382" t="s">
        <v>714</v>
      </c>
      <c r="C382" s="1">
        <v>46083</v>
      </c>
      <c r="D382" t="s">
        <v>77</v>
      </c>
      <c r="E382" t="s">
        <v>54</v>
      </c>
      <c r="F382" t="s">
        <v>16</v>
      </c>
      <c r="G382" t="s">
        <v>17</v>
      </c>
      <c r="H382">
        <v>1</v>
      </c>
      <c r="I382">
        <v>7200</v>
      </c>
      <c r="J382">
        <v>0.05</v>
      </c>
      <c r="K382">
        <v>6840</v>
      </c>
      <c r="L382" t="s">
        <v>64</v>
      </c>
    </row>
    <row r="383" spans="1:12">
      <c r="A383" t="s">
        <v>715</v>
      </c>
      <c r="B383" t="s">
        <v>362</v>
      </c>
      <c r="C383" s="1">
        <v>46264</v>
      </c>
      <c r="D383" t="s">
        <v>96</v>
      </c>
      <c r="E383" t="s">
        <v>22</v>
      </c>
      <c r="F383" t="s">
        <v>16</v>
      </c>
      <c r="G383" t="s">
        <v>17</v>
      </c>
      <c r="H383">
        <v>3</v>
      </c>
      <c r="I383">
        <v>3200</v>
      </c>
      <c r="J383">
        <v>0.1</v>
      </c>
      <c r="K383">
        <v>8640</v>
      </c>
      <c r="L383" t="s">
        <v>72</v>
      </c>
    </row>
    <row r="384" spans="1:12">
      <c r="A384" t="s">
        <v>716</v>
      </c>
      <c r="B384" t="s">
        <v>178</v>
      </c>
      <c r="C384" s="1">
        <v>46063</v>
      </c>
      <c r="D384" t="s">
        <v>14</v>
      </c>
      <c r="E384" t="s">
        <v>15</v>
      </c>
      <c r="F384" t="s">
        <v>16</v>
      </c>
      <c r="G384" t="s">
        <v>29</v>
      </c>
      <c r="H384">
        <v>1</v>
      </c>
      <c r="I384">
        <v>7600</v>
      </c>
      <c r="J384">
        <v>0</v>
      </c>
      <c r="K384">
        <v>7600</v>
      </c>
      <c r="L384" t="s">
        <v>97</v>
      </c>
    </row>
    <row r="385" spans="1:12">
      <c r="A385" t="s">
        <v>717</v>
      </c>
      <c r="B385" t="s">
        <v>470</v>
      </c>
      <c r="C385" s="1">
        <v>46046</v>
      </c>
      <c r="D385" t="s">
        <v>100</v>
      </c>
      <c r="E385" t="s">
        <v>28</v>
      </c>
      <c r="F385" t="s">
        <v>16</v>
      </c>
      <c r="G385" t="s">
        <v>17</v>
      </c>
      <c r="H385">
        <v>1</v>
      </c>
      <c r="I385">
        <v>4200</v>
      </c>
      <c r="J385">
        <v>0.15</v>
      </c>
      <c r="K385">
        <v>3570</v>
      </c>
      <c r="L385" t="s">
        <v>85</v>
      </c>
    </row>
    <row r="386" spans="1:12">
      <c r="A386" t="s">
        <v>718</v>
      </c>
      <c r="B386" t="s">
        <v>719</v>
      </c>
      <c r="C386" s="1">
        <v>46108</v>
      </c>
      <c r="D386" t="s">
        <v>21</v>
      </c>
      <c r="E386" t="s">
        <v>22</v>
      </c>
      <c r="F386" t="s">
        <v>34</v>
      </c>
      <c r="G386" t="s">
        <v>29</v>
      </c>
      <c r="H386">
        <v>1</v>
      </c>
      <c r="I386">
        <v>7600</v>
      </c>
      <c r="J386">
        <v>0</v>
      </c>
      <c r="K386">
        <v>7600</v>
      </c>
      <c r="L386" t="s">
        <v>97</v>
      </c>
    </row>
    <row r="387" spans="1:12">
      <c r="A387" t="s">
        <v>720</v>
      </c>
      <c r="B387" t="s">
        <v>129</v>
      </c>
      <c r="C387" s="1">
        <v>46223</v>
      </c>
      <c r="D387" t="s">
        <v>84</v>
      </c>
      <c r="E387" t="s">
        <v>22</v>
      </c>
      <c r="F387" t="s">
        <v>16</v>
      </c>
      <c r="G387" t="s">
        <v>29</v>
      </c>
      <c r="H387">
        <v>1</v>
      </c>
      <c r="I387">
        <v>8900</v>
      </c>
      <c r="J387">
        <v>0</v>
      </c>
      <c r="K387">
        <v>8900</v>
      </c>
      <c r="L387" t="s">
        <v>38</v>
      </c>
    </row>
    <row r="388" spans="1:12">
      <c r="A388" t="s">
        <v>721</v>
      </c>
      <c r="B388" t="s">
        <v>722</v>
      </c>
      <c r="C388" s="1">
        <v>46139</v>
      </c>
      <c r="D388" t="s">
        <v>115</v>
      </c>
      <c r="E388" t="s">
        <v>54</v>
      </c>
      <c r="F388" t="s">
        <v>16</v>
      </c>
      <c r="G388" t="s">
        <v>17</v>
      </c>
      <c r="H388">
        <v>1</v>
      </c>
      <c r="I388">
        <v>6800</v>
      </c>
      <c r="J388">
        <v>0.05</v>
      </c>
      <c r="K388">
        <v>6460</v>
      </c>
      <c r="L388" t="s">
        <v>142</v>
      </c>
    </row>
    <row r="389" spans="1:12">
      <c r="A389" t="s">
        <v>723</v>
      </c>
      <c r="B389" t="s">
        <v>724</v>
      </c>
      <c r="C389" s="1">
        <v>46137</v>
      </c>
      <c r="D389" t="s">
        <v>112</v>
      </c>
      <c r="E389" t="s">
        <v>15</v>
      </c>
      <c r="F389" t="s">
        <v>16</v>
      </c>
      <c r="G389" t="s">
        <v>17</v>
      </c>
      <c r="H389">
        <v>1</v>
      </c>
      <c r="I389">
        <v>3200</v>
      </c>
      <c r="J389">
        <v>0.15</v>
      </c>
      <c r="K389">
        <v>2720</v>
      </c>
      <c r="L389" t="s">
        <v>113</v>
      </c>
    </row>
    <row r="390" spans="1:12">
      <c r="A390" t="s">
        <v>725</v>
      </c>
      <c r="B390" t="s">
        <v>566</v>
      </c>
      <c r="C390" s="1">
        <v>46217</v>
      </c>
      <c r="D390" t="s">
        <v>67</v>
      </c>
      <c r="E390" t="s">
        <v>54</v>
      </c>
      <c r="F390" t="s">
        <v>16</v>
      </c>
      <c r="G390" t="s">
        <v>23</v>
      </c>
      <c r="H390">
        <v>1</v>
      </c>
      <c r="I390">
        <v>2800</v>
      </c>
      <c r="J390">
        <v>0.1</v>
      </c>
      <c r="K390">
        <v>2520</v>
      </c>
      <c r="L390" t="s">
        <v>72</v>
      </c>
    </row>
    <row r="391" spans="1:12">
      <c r="A391" t="s">
        <v>726</v>
      </c>
      <c r="B391" t="s">
        <v>727</v>
      </c>
      <c r="C391" s="1">
        <v>46081</v>
      </c>
      <c r="D391" t="s">
        <v>112</v>
      </c>
      <c r="E391" t="s">
        <v>15</v>
      </c>
      <c r="F391" t="s">
        <v>34</v>
      </c>
      <c r="G391" t="s">
        <v>23</v>
      </c>
      <c r="H391">
        <v>1</v>
      </c>
      <c r="I391">
        <v>3200</v>
      </c>
      <c r="J391">
        <v>0.1</v>
      </c>
      <c r="K391">
        <v>2880</v>
      </c>
      <c r="L391" t="s">
        <v>38</v>
      </c>
    </row>
    <row r="392" spans="1:12">
      <c r="A392" t="s">
        <v>728</v>
      </c>
      <c r="B392" t="s">
        <v>281</v>
      </c>
      <c r="C392" s="1">
        <v>46251</v>
      </c>
      <c r="D392" t="s">
        <v>50</v>
      </c>
      <c r="E392" t="s">
        <v>28</v>
      </c>
      <c r="F392" t="s">
        <v>16</v>
      </c>
      <c r="G392" t="s">
        <v>17</v>
      </c>
      <c r="H392">
        <v>1</v>
      </c>
      <c r="I392">
        <v>6200</v>
      </c>
      <c r="J392">
        <v>0.05</v>
      </c>
      <c r="K392">
        <v>5890</v>
      </c>
      <c r="L392" t="s">
        <v>135</v>
      </c>
    </row>
    <row r="393" spans="1:12">
      <c r="A393" t="s">
        <v>729</v>
      </c>
      <c r="B393" t="s">
        <v>730</v>
      </c>
      <c r="C393" s="1">
        <v>46097</v>
      </c>
      <c r="D393" t="s">
        <v>71</v>
      </c>
      <c r="E393" t="s">
        <v>47</v>
      </c>
      <c r="F393" t="s">
        <v>34</v>
      </c>
      <c r="G393" t="s">
        <v>29</v>
      </c>
      <c r="H393">
        <v>1</v>
      </c>
      <c r="I393">
        <v>5600</v>
      </c>
      <c r="J393">
        <v>0.1</v>
      </c>
      <c r="K393">
        <v>5040</v>
      </c>
      <c r="L393" t="s">
        <v>97</v>
      </c>
    </row>
    <row r="394" spans="1:12">
      <c r="A394" t="s">
        <v>731</v>
      </c>
      <c r="B394" t="s">
        <v>732</v>
      </c>
      <c r="C394" s="1">
        <v>46030</v>
      </c>
      <c r="D394" t="s">
        <v>71</v>
      </c>
      <c r="E394" t="s">
        <v>47</v>
      </c>
      <c r="F394" t="s">
        <v>16</v>
      </c>
      <c r="G394" t="s">
        <v>23</v>
      </c>
      <c r="H394">
        <v>1</v>
      </c>
      <c r="I394">
        <v>5600</v>
      </c>
      <c r="J394">
        <v>0.05</v>
      </c>
      <c r="K394">
        <v>5320</v>
      </c>
      <c r="L394" t="s">
        <v>35</v>
      </c>
    </row>
    <row r="395" spans="1:12">
      <c r="A395" t="s">
        <v>733</v>
      </c>
      <c r="B395" t="s">
        <v>734</v>
      </c>
      <c r="C395" s="1">
        <v>46206</v>
      </c>
      <c r="D395" t="s">
        <v>100</v>
      </c>
      <c r="E395" t="s">
        <v>28</v>
      </c>
      <c r="F395" t="s">
        <v>16</v>
      </c>
      <c r="G395" t="s">
        <v>17</v>
      </c>
      <c r="H395">
        <v>3</v>
      </c>
      <c r="I395">
        <v>4200</v>
      </c>
      <c r="J395">
        <v>0.05</v>
      </c>
      <c r="K395">
        <v>11970</v>
      </c>
      <c r="L395" t="s">
        <v>38</v>
      </c>
    </row>
    <row r="396" spans="1:12">
      <c r="A396" t="s">
        <v>735</v>
      </c>
      <c r="B396" t="s">
        <v>709</v>
      </c>
      <c r="C396" s="1">
        <v>46252</v>
      </c>
      <c r="D396" t="s">
        <v>60</v>
      </c>
      <c r="E396" t="s">
        <v>28</v>
      </c>
      <c r="F396" t="s">
        <v>16</v>
      </c>
      <c r="G396" t="s">
        <v>23</v>
      </c>
      <c r="H396">
        <v>1</v>
      </c>
      <c r="I396">
        <v>12800</v>
      </c>
      <c r="J396">
        <v>0.05</v>
      </c>
      <c r="K396">
        <v>12160</v>
      </c>
      <c r="L396" t="s">
        <v>97</v>
      </c>
    </row>
    <row r="397" spans="1:12">
      <c r="A397" t="s">
        <v>736</v>
      </c>
      <c r="B397" t="s">
        <v>737</v>
      </c>
      <c r="C397" s="1">
        <v>46127</v>
      </c>
      <c r="D397" t="s">
        <v>96</v>
      </c>
      <c r="E397" t="s">
        <v>22</v>
      </c>
      <c r="F397" t="s">
        <v>34</v>
      </c>
      <c r="G397" t="s">
        <v>17</v>
      </c>
      <c r="H397">
        <v>1</v>
      </c>
      <c r="I397">
        <v>3200</v>
      </c>
      <c r="J397">
        <v>0.1</v>
      </c>
      <c r="K397">
        <v>2880</v>
      </c>
      <c r="L397" t="s">
        <v>30</v>
      </c>
    </row>
    <row r="398" spans="1:12">
      <c r="A398" t="s">
        <v>738</v>
      </c>
      <c r="B398" t="s">
        <v>536</v>
      </c>
      <c r="C398" s="1">
        <v>46049</v>
      </c>
      <c r="D398" t="s">
        <v>130</v>
      </c>
      <c r="E398" t="s">
        <v>22</v>
      </c>
      <c r="F398" t="s">
        <v>16</v>
      </c>
      <c r="G398" t="s">
        <v>29</v>
      </c>
      <c r="H398">
        <v>2</v>
      </c>
      <c r="I398">
        <v>5900</v>
      </c>
      <c r="J398">
        <v>0.2</v>
      </c>
      <c r="K398">
        <v>9440</v>
      </c>
      <c r="L398" t="s">
        <v>64</v>
      </c>
    </row>
    <row r="399" spans="1:12">
      <c r="A399" t="s">
        <v>739</v>
      </c>
      <c r="B399" t="s">
        <v>409</v>
      </c>
      <c r="C399" s="1">
        <v>46266</v>
      </c>
      <c r="D399" t="s">
        <v>91</v>
      </c>
      <c r="E399" t="s">
        <v>22</v>
      </c>
      <c r="F399" t="s">
        <v>16</v>
      </c>
      <c r="G399" t="s">
        <v>17</v>
      </c>
      <c r="H399">
        <v>1</v>
      </c>
      <c r="I399">
        <v>11500</v>
      </c>
      <c r="J399">
        <v>0.2</v>
      </c>
      <c r="K399">
        <v>9200</v>
      </c>
      <c r="L399" t="s">
        <v>72</v>
      </c>
    </row>
    <row r="400" spans="1:12">
      <c r="A400" t="s">
        <v>740</v>
      </c>
      <c r="B400" t="s">
        <v>644</v>
      </c>
      <c r="C400" s="1">
        <v>46192</v>
      </c>
      <c r="D400" t="s">
        <v>77</v>
      </c>
      <c r="E400" t="s">
        <v>54</v>
      </c>
      <c r="F400" t="s">
        <v>34</v>
      </c>
      <c r="G400" t="s">
        <v>17</v>
      </c>
      <c r="H400">
        <v>3</v>
      </c>
      <c r="I400">
        <v>7200</v>
      </c>
      <c r="J400">
        <v>0.05</v>
      </c>
      <c r="K400">
        <v>20520</v>
      </c>
      <c r="L400" t="s">
        <v>38</v>
      </c>
    </row>
    <row r="401" spans="1:12">
      <c r="A401" t="s">
        <v>741</v>
      </c>
      <c r="B401" t="s">
        <v>742</v>
      </c>
      <c r="C401" s="1">
        <v>46207</v>
      </c>
      <c r="D401" t="s">
        <v>71</v>
      </c>
      <c r="E401" t="s">
        <v>47</v>
      </c>
      <c r="F401" t="s">
        <v>16</v>
      </c>
      <c r="G401" t="s">
        <v>17</v>
      </c>
      <c r="H401">
        <v>2</v>
      </c>
      <c r="I401">
        <v>5600</v>
      </c>
      <c r="J401">
        <v>0.05</v>
      </c>
      <c r="K401">
        <v>10640</v>
      </c>
      <c r="L401" t="s">
        <v>38</v>
      </c>
    </row>
    <row r="402" spans="1:12">
      <c r="A402" t="s">
        <v>743</v>
      </c>
      <c r="B402" t="s">
        <v>744</v>
      </c>
      <c r="C402" s="1">
        <v>46218</v>
      </c>
      <c r="D402" t="s">
        <v>14</v>
      </c>
      <c r="E402" t="s">
        <v>15</v>
      </c>
      <c r="F402" t="s">
        <v>16</v>
      </c>
      <c r="G402" t="s">
        <v>17</v>
      </c>
      <c r="H402">
        <v>3</v>
      </c>
      <c r="I402">
        <v>7600</v>
      </c>
      <c r="J402">
        <v>0</v>
      </c>
      <c r="K402">
        <v>22800</v>
      </c>
      <c r="L402" t="s">
        <v>142</v>
      </c>
    </row>
    <row r="403" spans="1:12">
      <c r="A403" t="s">
        <v>745</v>
      </c>
      <c r="B403" t="s">
        <v>472</v>
      </c>
      <c r="C403" s="1">
        <v>46081</v>
      </c>
      <c r="D403" t="s">
        <v>71</v>
      </c>
      <c r="E403" t="s">
        <v>47</v>
      </c>
      <c r="F403" t="s">
        <v>34</v>
      </c>
      <c r="G403" t="s">
        <v>29</v>
      </c>
      <c r="H403">
        <v>2</v>
      </c>
      <c r="I403">
        <v>5600</v>
      </c>
      <c r="J403">
        <v>0.05</v>
      </c>
      <c r="K403">
        <v>10640</v>
      </c>
      <c r="L403" t="s">
        <v>38</v>
      </c>
    </row>
    <row r="404" spans="1:12">
      <c r="A404" t="s">
        <v>746</v>
      </c>
      <c r="B404" t="s">
        <v>540</v>
      </c>
      <c r="C404" s="1">
        <v>46259</v>
      </c>
      <c r="D404" t="s">
        <v>60</v>
      </c>
      <c r="E404" t="s">
        <v>28</v>
      </c>
      <c r="F404" t="s">
        <v>16</v>
      </c>
      <c r="G404" t="s">
        <v>17</v>
      </c>
      <c r="H404">
        <v>2</v>
      </c>
      <c r="I404">
        <v>12800</v>
      </c>
      <c r="J404">
        <v>0.2</v>
      </c>
      <c r="K404">
        <v>20480</v>
      </c>
      <c r="L404" t="s">
        <v>135</v>
      </c>
    </row>
    <row r="405" spans="1:12">
      <c r="A405" t="s">
        <v>747</v>
      </c>
      <c r="B405" t="s">
        <v>32</v>
      </c>
      <c r="C405" s="1">
        <v>46186</v>
      </c>
      <c r="D405" t="s">
        <v>53</v>
      </c>
      <c r="E405" t="s">
        <v>54</v>
      </c>
      <c r="F405" t="s">
        <v>34</v>
      </c>
      <c r="G405" t="s">
        <v>23</v>
      </c>
      <c r="H405">
        <v>1</v>
      </c>
      <c r="I405">
        <v>4500</v>
      </c>
      <c r="J405">
        <v>0.1</v>
      </c>
      <c r="K405">
        <v>4050</v>
      </c>
      <c r="L405" t="s">
        <v>113</v>
      </c>
    </row>
    <row r="406" spans="1:12">
      <c r="A406" t="s">
        <v>748</v>
      </c>
      <c r="B406" t="s">
        <v>358</v>
      </c>
      <c r="C406" s="1">
        <v>46261</v>
      </c>
      <c r="D406" t="s">
        <v>100</v>
      </c>
      <c r="E406" t="s">
        <v>28</v>
      </c>
      <c r="F406" t="s">
        <v>16</v>
      </c>
      <c r="G406" t="s">
        <v>17</v>
      </c>
      <c r="H406">
        <v>1</v>
      </c>
      <c r="I406">
        <v>4200</v>
      </c>
      <c r="J406">
        <v>0.05</v>
      </c>
      <c r="K406">
        <v>3990</v>
      </c>
      <c r="L406" t="s">
        <v>85</v>
      </c>
    </row>
    <row r="407" spans="1:12">
      <c r="A407" t="s">
        <v>749</v>
      </c>
      <c r="B407" t="s">
        <v>750</v>
      </c>
      <c r="C407" s="1">
        <v>46047</v>
      </c>
      <c r="D407" t="s">
        <v>46</v>
      </c>
      <c r="E407" t="s">
        <v>47</v>
      </c>
      <c r="F407" t="s">
        <v>16</v>
      </c>
      <c r="G407" t="s">
        <v>17</v>
      </c>
      <c r="H407">
        <v>1</v>
      </c>
      <c r="I407">
        <v>9200</v>
      </c>
      <c r="J407">
        <v>0.1</v>
      </c>
      <c r="K407">
        <v>8280</v>
      </c>
      <c r="L407" t="s">
        <v>64</v>
      </c>
    </row>
    <row r="408" spans="1:12">
      <c r="A408" t="s">
        <v>751</v>
      </c>
      <c r="B408" t="s">
        <v>584</v>
      </c>
      <c r="C408" s="1">
        <v>46158</v>
      </c>
      <c r="D408" t="s">
        <v>33</v>
      </c>
      <c r="E408" t="s">
        <v>28</v>
      </c>
      <c r="F408" t="s">
        <v>16</v>
      </c>
      <c r="G408" t="s">
        <v>17</v>
      </c>
      <c r="H408">
        <v>2</v>
      </c>
      <c r="I408">
        <v>8500</v>
      </c>
      <c r="J408">
        <v>0.05</v>
      </c>
      <c r="K408">
        <v>16150</v>
      </c>
      <c r="L408" t="s">
        <v>68</v>
      </c>
    </row>
    <row r="409" spans="1:12">
      <c r="A409" t="s">
        <v>752</v>
      </c>
      <c r="B409" t="s">
        <v>188</v>
      </c>
      <c r="C409" s="1">
        <v>46069</v>
      </c>
      <c r="D409" t="s">
        <v>14</v>
      </c>
      <c r="E409" t="s">
        <v>15</v>
      </c>
      <c r="F409" t="s">
        <v>16</v>
      </c>
      <c r="G409" t="s">
        <v>17</v>
      </c>
      <c r="H409">
        <v>1</v>
      </c>
      <c r="I409">
        <v>7600</v>
      </c>
      <c r="J409">
        <v>0.05</v>
      </c>
      <c r="K409">
        <v>7220</v>
      </c>
      <c r="L409" t="s">
        <v>64</v>
      </c>
    </row>
    <row r="410" spans="1:12">
      <c r="A410" t="s">
        <v>753</v>
      </c>
      <c r="B410" t="s">
        <v>52</v>
      </c>
      <c r="C410" s="1">
        <v>46084</v>
      </c>
      <c r="D410" t="s">
        <v>130</v>
      </c>
      <c r="E410" t="s">
        <v>22</v>
      </c>
      <c r="F410" t="s">
        <v>34</v>
      </c>
      <c r="G410" t="s">
        <v>29</v>
      </c>
      <c r="H410">
        <v>4</v>
      </c>
      <c r="I410">
        <v>5900</v>
      </c>
      <c r="J410">
        <v>0.05</v>
      </c>
      <c r="K410">
        <v>22420</v>
      </c>
      <c r="L410" t="s">
        <v>64</v>
      </c>
    </row>
    <row r="411" spans="1:12">
      <c r="A411" t="s">
        <v>754</v>
      </c>
      <c r="B411" t="s">
        <v>63</v>
      </c>
      <c r="C411" s="1">
        <v>46030</v>
      </c>
      <c r="D411" t="s">
        <v>84</v>
      </c>
      <c r="E411" t="s">
        <v>22</v>
      </c>
      <c r="F411" t="s">
        <v>34</v>
      </c>
      <c r="G411" t="s">
        <v>17</v>
      </c>
      <c r="H411">
        <v>3</v>
      </c>
      <c r="I411">
        <v>8900</v>
      </c>
      <c r="J411">
        <v>0.1</v>
      </c>
      <c r="K411">
        <v>24030</v>
      </c>
      <c r="L411" t="s">
        <v>113</v>
      </c>
    </row>
    <row r="412" spans="1:12">
      <c r="A412" t="s">
        <v>755</v>
      </c>
      <c r="B412" t="s">
        <v>730</v>
      </c>
      <c r="C412" s="1">
        <v>46095</v>
      </c>
      <c r="D412" t="s">
        <v>100</v>
      </c>
      <c r="E412" t="s">
        <v>28</v>
      </c>
      <c r="F412" t="s">
        <v>34</v>
      </c>
      <c r="G412" t="s">
        <v>17</v>
      </c>
      <c r="H412">
        <v>1</v>
      </c>
      <c r="I412">
        <v>4200</v>
      </c>
      <c r="J412">
        <v>0</v>
      </c>
      <c r="K412">
        <v>4200</v>
      </c>
      <c r="L412" t="s">
        <v>142</v>
      </c>
    </row>
    <row r="413" spans="1:12">
      <c r="A413" t="s">
        <v>756</v>
      </c>
      <c r="B413" t="s">
        <v>757</v>
      </c>
      <c r="C413" s="1">
        <v>46246</v>
      </c>
      <c r="D413" t="s">
        <v>71</v>
      </c>
      <c r="E413" t="s">
        <v>47</v>
      </c>
      <c r="F413" t="s">
        <v>16</v>
      </c>
      <c r="G413" t="s">
        <v>29</v>
      </c>
      <c r="H413">
        <v>1</v>
      </c>
      <c r="I413">
        <v>5600</v>
      </c>
      <c r="J413">
        <v>0.05</v>
      </c>
      <c r="K413">
        <v>5320</v>
      </c>
      <c r="L413" t="s">
        <v>72</v>
      </c>
    </row>
    <row r="414" spans="1:12">
      <c r="A414" t="s">
        <v>758</v>
      </c>
      <c r="B414" t="s">
        <v>759</v>
      </c>
      <c r="C414" s="1">
        <v>46085</v>
      </c>
      <c r="D414" t="s">
        <v>103</v>
      </c>
      <c r="E414" t="s">
        <v>47</v>
      </c>
      <c r="F414" t="s">
        <v>16</v>
      </c>
      <c r="G414" t="s">
        <v>17</v>
      </c>
      <c r="H414">
        <v>1</v>
      </c>
      <c r="I414">
        <v>3800</v>
      </c>
      <c r="J414">
        <v>0.2</v>
      </c>
      <c r="K414">
        <v>3040</v>
      </c>
      <c r="L414" t="s">
        <v>61</v>
      </c>
    </row>
    <row r="415" spans="1:12">
      <c r="A415" t="s">
        <v>760</v>
      </c>
      <c r="B415" t="s">
        <v>761</v>
      </c>
      <c r="C415" s="1">
        <v>46261</v>
      </c>
      <c r="D415" t="s">
        <v>112</v>
      </c>
      <c r="E415" t="s">
        <v>15</v>
      </c>
      <c r="F415" t="s">
        <v>34</v>
      </c>
      <c r="G415" t="s">
        <v>23</v>
      </c>
      <c r="H415">
        <v>1</v>
      </c>
      <c r="I415">
        <v>3200</v>
      </c>
      <c r="J415">
        <v>0</v>
      </c>
      <c r="K415">
        <v>3200</v>
      </c>
      <c r="L415" t="s">
        <v>30</v>
      </c>
    </row>
    <row r="416" spans="1:12">
      <c r="A416" t="s">
        <v>762</v>
      </c>
      <c r="B416" t="s">
        <v>180</v>
      </c>
      <c r="C416" s="1">
        <v>46174</v>
      </c>
      <c r="D416" t="s">
        <v>21</v>
      </c>
      <c r="E416" t="s">
        <v>22</v>
      </c>
      <c r="F416" t="s">
        <v>34</v>
      </c>
      <c r="G416" t="s">
        <v>23</v>
      </c>
      <c r="H416">
        <v>3</v>
      </c>
      <c r="I416">
        <v>7600</v>
      </c>
      <c r="J416">
        <v>0.05</v>
      </c>
      <c r="K416">
        <v>21660</v>
      </c>
      <c r="L416" t="s">
        <v>35</v>
      </c>
    </row>
    <row r="417" spans="1:12">
      <c r="A417" t="s">
        <v>763</v>
      </c>
      <c r="B417" t="s">
        <v>43</v>
      </c>
      <c r="C417" s="1">
        <v>46026</v>
      </c>
      <c r="D417" t="s">
        <v>21</v>
      </c>
      <c r="E417" t="s">
        <v>22</v>
      </c>
      <c r="F417" t="s">
        <v>16</v>
      </c>
      <c r="G417" t="s">
        <v>29</v>
      </c>
      <c r="H417">
        <v>2</v>
      </c>
      <c r="I417">
        <v>7600</v>
      </c>
      <c r="J417">
        <v>0.1</v>
      </c>
      <c r="K417">
        <v>13680</v>
      </c>
      <c r="L417" t="s">
        <v>85</v>
      </c>
    </row>
    <row r="418" spans="1:12">
      <c r="A418" t="s">
        <v>764</v>
      </c>
      <c r="B418" t="s">
        <v>486</v>
      </c>
      <c r="C418" s="1">
        <v>46239</v>
      </c>
      <c r="D418" t="s">
        <v>118</v>
      </c>
      <c r="E418" t="s">
        <v>47</v>
      </c>
      <c r="F418" t="s">
        <v>16</v>
      </c>
      <c r="G418" t="s">
        <v>17</v>
      </c>
      <c r="H418">
        <v>3</v>
      </c>
      <c r="I418">
        <v>4100</v>
      </c>
      <c r="J418">
        <v>0.1</v>
      </c>
      <c r="K418">
        <v>11070</v>
      </c>
      <c r="L418" t="s">
        <v>72</v>
      </c>
    </row>
    <row r="419" spans="1:12">
      <c r="A419" t="s">
        <v>765</v>
      </c>
      <c r="B419" t="s">
        <v>420</v>
      </c>
      <c r="C419" s="1">
        <v>46268</v>
      </c>
      <c r="D419" t="s">
        <v>46</v>
      </c>
      <c r="E419" t="s">
        <v>47</v>
      </c>
      <c r="F419" t="s">
        <v>16</v>
      </c>
      <c r="G419" t="s">
        <v>23</v>
      </c>
      <c r="H419">
        <v>3</v>
      </c>
      <c r="I419">
        <v>9200</v>
      </c>
      <c r="J419">
        <v>0.2</v>
      </c>
      <c r="K419">
        <v>22080</v>
      </c>
      <c r="L419" t="s">
        <v>97</v>
      </c>
    </row>
    <row r="420" spans="1:12">
      <c r="A420" t="s">
        <v>766</v>
      </c>
      <c r="B420" t="s">
        <v>368</v>
      </c>
      <c r="C420" s="1">
        <v>46040</v>
      </c>
      <c r="D420" t="s">
        <v>112</v>
      </c>
      <c r="E420" t="s">
        <v>15</v>
      </c>
      <c r="F420" t="s">
        <v>34</v>
      </c>
      <c r="G420" t="s">
        <v>29</v>
      </c>
      <c r="H420">
        <v>2</v>
      </c>
      <c r="I420">
        <v>3200</v>
      </c>
      <c r="J420">
        <v>0</v>
      </c>
      <c r="K420">
        <v>6400</v>
      </c>
      <c r="L420" t="s">
        <v>142</v>
      </c>
    </row>
    <row r="421" spans="1:12">
      <c r="A421" t="s">
        <v>767</v>
      </c>
      <c r="B421" t="s">
        <v>768</v>
      </c>
      <c r="C421" s="1">
        <v>46038</v>
      </c>
      <c r="D421" t="s">
        <v>21</v>
      </c>
      <c r="E421" t="s">
        <v>22</v>
      </c>
      <c r="F421" t="s">
        <v>16</v>
      </c>
      <c r="G421" t="s">
        <v>17</v>
      </c>
      <c r="H421">
        <v>1</v>
      </c>
      <c r="I421">
        <v>7600</v>
      </c>
      <c r="J421">
        <v>0</v>
      </c>
      <c r="K421">
        <v>7600</v>
      </c>
      <c r="L421" t="s">
        <v>30</v>
      </c>
    </row>
    <row r="422" spans="1:12">
      <c r="A422" t="s">
        <v>769</v>
      </c>
      <c r="B422" t="s">
        <v>770</v>
      </c>
      <c r="C422" s="1">
        <v>46116</v>
      </c>
      <c r="D422" t="s">
        <v>71</v>
      </c>
      <c r="E422" t="s">
        <v>47</v>
      </c>
      <c r="F422" t="s">
        <v>16</v>
      </c>
      <c r="G422" t="s">
        <v>17</v>
      </c>
      <c r="H422">
        <v>3</v>
      </c>
      <c r="I422">
        <v>5600</v>
      </c>
      <c r="J422">
        <v>0.05</v>
      </c>
      <c r="K422">
        <v>15960</v>
      </c>
      <c r="L422" t="s">
        <v>123</v>
      </c>
    </row>
    <row r="423" spans="1:12">
      <c r="A423" t="s">
        <v>771</v>
      </c>
      <c r="B423" t="s">
        <v>271</v>
      </c>
      <c r="C423" s="1">
        <v>46056</v>
      </c>
      <c r="D423" t="s">
        <v>33</v>
      </c>
      <c r="E423" t="s">
        <v>28</v>
      </c>
      <c r="F423" t="s">
        <v>34</v>
      </c>
      <c r="G423" t="s">
        <v>29</v>
      </c>
      <c r="H423">
        <v>3</v>
      </c>
      <c r="I423">
        <v>8500</v>
      </c>
      <c r="J423">
        <v>0</v>
      </c>
      <c r="K423">
        <v>25500</v>
      </c>
      <c r="L423" t="s">
        <v>35</v>
      </c>
    </row>
    <row r="424" spans="1:12">
      <c r="A424" t="s">
        <v>772</v>
      </c>
      <c r="B424" t="s">
        <v>276</v>
      </c>
      <c r="C424" s="1">
        <v>46178</v>
      </c>
      <c r="D424" t="s">
        <v>112</v>
      </c>
      <c r="E424" t="s">
        <v>15</v>
      </c>
      <c r="F424" t="s">
        <v>16</v>
      </c>
      <c r="G424" t="s">
        <v>29</v>
      </c>
      <c r="H424">
        <v>1</v>
      </c>
      <c r="I424">
        <v>3200</v>
      </c>
      <c r="J424">
        <v>0.05</v>
      </c>
      <c r="K424">
        <v>3040</v>
      </c>
      <c r="L424" t="s">
        <v>64</v>
      </c>
    </row>
    <row r="425" spans="1:12">
      <c r="A425" t="s">
        <v>773</v>
      </c>
      <c r="B425" t="s">
        <v>474</v>
      </c>
      <c r="C425" s="1">
        <v>46184</v>
      </c>
      <c r="D425" t="s">
        <v>33</v>
      </c>
      <c r="E425" t="s">
        <v>28</v>
      </c>
      <c r="F425" t="s">
        <v>34</v>
      </c>
      <c r="G425" t="s">
        <v>29</v>
      </c>
      <c r="H425">
        <v>2</v>
      </c>
      <c r="I425">
        <v>8500</v>
      </c>
      <c r="J425">
        <v>0.1</v>
      </c>
      <c r="K425">
        <v>15300</v>
      </c>
      <c r="L425" t="s">
        <v>30</v>
      </c>
    </row>
    <row r="426" spans="1:12">
      <c r="A426" t="s">
        <v>774</v>
      </c>
      <c r="B426" t="s">
        <v>556</v>
      </c>
      <c r="C426" s="1">
        <v>46188</v>
      </c>
      <c r="D426" t="s">
        <v>96</v>
      </c>
      <c r="E426" t="s">
        <v>22</v>
      </c>
      <c r="F426" t="s">
        <v>16</v>
      </c>
      <c r="G426" t="s">
        <v>29</v>
      </c>
      <c r="H426">
        <v>2</v>
      </c>
      <c r="I426">
        <v>3200</v>
      </c>
      <c r="J426">
        <v>0.2</v>
      </c>
      <c r="K426">
        <v>5120</v>
      </c>
      <c r="L426" t="s">
        <v>142</v>
      </c>
    </row>
    <row r="427" spans="1:12">
      <c r="A427" t="s">
        <v>775</v>
      </c>
      <c r="B427" t="s">
        <v>99</v>
      </c>
      <c r="C427" s="1">
        <v>46040</v>
      </c>
      <c r="D427" t="s">
        <v>14</v>
      </c>
      <c r="E427" t="s">
        <v>15</v>
      </c>
      <c r="F427" t="s">
        <v>16</v>
      </c>
      <c r="G427" t="s">
        <v>17</v>
      </c>
      <c r="H427">
        <v>1</v>
      </c>
      <c r="I427">
        <v>7600</v>
      </c>
      <c r="J427">
        <v>0.2</v>
      </c>
      <c r="K427">
        <v>6080</v>
      </c>
      <c r="L427" t="s">
        <v>30</v>
      </c>
    </row>
    <row r="428" spans="1:12">
      <c r="A428" t="s">
        <v>776</v>
      </c>
      <c r="B428" t="s">
        <v>559</v>
      </c>
      <c r="C428" s="1">
        <v>46036</v>
      </c>
      <c r="D428" t="s">
        <v>112</v>
      </c>
      <c r="E428" t="s">
        <v>15</v>
      </c>
      <c r="F428" t="s">
        <v>34</v>
      </c>
      <c r="G428" t="s">
        <v>17</v>
      </c>
      <c r="H428">
        <v>2</v>
      </c>
      <c r="I428">
        <v>3200</v>
      </c>
      <c r="J428">
        <v>0.1</v>
      </c>
      <c r="K428">
        <v>5760</v>
      </c>
      <c r="L428" t="s">
        <v>35</v>
      </c>
    </row>
    <row r="429" spans="1:12">
      <c r="A429" t="s">
        <v>777</v>
      </c>
      <c r="B429" t="s">
        <v>778</v>
      </c>
      <c r="C429" s="1">
        <v>46214</v>
      </c>
      <c r="D429" t="s">
        <v>96</v>
      </c>
      <c r="E429" t="s">
        <v>22</v>
      </c>
      <c r="F429" t="s">
        <v>16</v>
      </c>
      <c r="G429" t="s">
        <v>17</v>
      </c>
      <c r="H429">
        <v>1</v>
      </c>
      <c r="I429">
        <v>3200</v>
      </c>
      <c r="J429">
        <v>0.1</v>
      </c>
      <c r="K429">
        <v>2880</v>
      </c>
      <c r="L429" t="s">
        <v>113</v>
      </c>
    </row>
    <row r="430" spans="1:12">
      <c r="A430" t="s">
        <v>779</v>
      </c>
      <c r="B430" t="s">
        <v>737</v>
      </c>
      <c r="C430" s="1">
        <v>46248</v>
      </c>
      <c r="D430" t="s">
        <v>115</v>
      </c>
      <c r="E430" t="s">
        <v>54</v>
      </c>
      <c r="F430" t="s">
        <v>34</v>
      </c>
      <c r="G430" t="s">
        <v>23</v>
      </c>
      <c r="H430">
        <v>1</v>
      </c>
      <c r="I430">
        <v>6800</v>
      </c>
      <c r="J430">
        <v>0.15</v>
      </c>
      <c r="K430">
        <v>5780</v>
      </c>
      <c r="L430" t="s">
        <v>24</v>
      </c>
    </row>
    <row r="431" spans="1:12">
      <c r="A431" t="s">
        <v>780</v>
      </c>
      <c r="B431" t="s">
        <v>781</v>
      </c>
      <c r="C431" s="1">
        <v>46214</v>
      </c>
      <c r="D431" t="s">
        <v>21</v>
      </c>
      <c r="E431" t="s">
        <v>22</v>
      </c>
      <c r="F431" t="s">
        <v>16</v>
      </c>
      <c r="G431" t="s">
        <v>29</v>
      </c>
      <c r="H431">
        <v>1</v>
      </c>
      <c r="I431">
        <v>7600</v>
      </c>
      <c r="J431">
        <v>0.1</v>
      </c>
      <c r="K431">
        <v>6840</v>
      </c>
      <c r="L431" t="s">
        <v>113</v>
      </c>
    </row>
    <row r="432" spans="1:12">
      <c r="A432" t="s">
        <v>782</v>
      </c>
      <c r="B432" t="s">
        <v>783</v>
      </c>
      <c r="C432" s="1">
        <v>46099</v>
      </c>
      <c r="D432" t="s">
        <v>21</v>
      </c>
      <c r="E432" t="s">
        <v>22</v>
      </c>
      <c r="F432" t="s">
        <v>34</v>
      </c>
      <c r="G432" t="s">
        <v>29</v>
      </c>
      <c r="H432">
        <v>1</v>
      </c>
      <c r="I432">
        <v>7600</v>
      </c>
      <c r="J432">
        <v>0.1</v>
      </c>
      <c r="K432">
        <v>6840</v>
      </c>
      <c r="L432" t="s">
        <v>18</v>
      </c>
    </row>
    <row r="433" spans="1:12">
      <c r="A433" t="s">
        <v>784</v>
      </c>
      <c r="B433" t="s">
        <v>785</v>
      </c>
      <c r="C433" s="1">
        <v>46182</v>
      </c>
      <c r="D433" t="s">
        <v>60</v>
      </c>
      <c r="E433" t="s">
        <v>28</v>
      </c>
      <c r="F433" t="s">
        <v>34</v>
      </c>
      <c r="G433" t="s">
        <v>17</v>
      </c>
      <c r="H433">
        <v>1</v>
      </c>
      <c r="I433">
        <v>12800</v>
      </c>
      <c r="J433">
        <v>0.2</v>
      </c>
      <c r="K433">
        <v>10240</v>
      </c>
      <c r="L433" t="s">
        <v>61</v>
      </c>
    </row>
    <row r="434" spans="1:12">
      <c r="A434" t="s">
        <v>786</v>
      </c>
      <c r="B434" t="s">
        <v>787</v>
      </c>
      <c r="C434" s="1">
        <v>46038</v>
      </c>
      <c r="D434" t="s">
        <v>67</v>
      </c>
      <c r="E434" t="s">
        <v>54</v>
      </c>
      <c r="F434" t="s">
        <v>16</v>
      </c>
      <c r="G434" t="s">
        <v>17</v>
      </c>
      <c r="H434">
        <v>2</v>
      </c>
      <c r="I434">
        <v>2800</v>
      </c>
      <c r="J434">
        <v>0.1</v>
      </c>
      <c r="K434">
        <v>5040</v>
      </c>
      <c r="L434" t="s">
        <v>85</v>
      </c>
    </row>
    <row r="435" spans="1:12">
      <c r="A435" t="s">
        <v>788</v>
      </c>
      <c r="B435" t="s">
        <v>664</v>
      </c>
      <c r="C435" s="1">
        <v>46103</v>
      </c>
      <c r="D435" t="s">
        <v>112</v>
      </c>
      <c r="E435" t="s">
        <v>15</v>
      </c>
      <c r="F435" t="s">
        <v>16</v>
      </c>
      <c r="G435" t="s">
        <v>29</v>
      </c>
      <c r="H435">
        <v>2</v>
      </c>
      <c r="I435">
        <v>3200</v>
      </c>
      <c r="J435">
        <v>0.1</v>
      </c>
      <c r="K435">
        <v>5760</v>
      </c>
      <c r="L435" t="s">
        <v>61</v>
      </c>
    </row>
    <row r="436" spans="1:12">
      <c r="A436" t="s">
        <v>789</v>
      </c>
      <c r="B436" t="s">
        <v>790</v>
      </c>
      <c r="C436" s="1">
        <v>46295</v>
      </c>
      <c r="D436" t="s">
        <v>71</v>
      </c>
      <c r="E436" t="s">
        <v>47</v>
      </c>
      <c r="F436" t="s">
        <v>16</v>
      </c>
      <c r="G436" t="s">
        <v>29</v>
      </c>
      <c r="H436">
        <v>2</v>
      </c>
      <c r="I436">
        <v>5600</v>
      </c>
      <c r="J436">
        <v>0</v>
      </c>
      <c r="K436">
        <v>11200</v>
      </c>
      <c r="L436" t="s">
        <v>72</v>
      </c>
    </row>
    <row r="437" spans="1:12">
      <c r="A437" t="s">
        <v>791</v>
      </c>
      <c r="B437" t="s">
        <v>405</v>
      </c>
      <c r="C437" s="1">
        <v>46075</v>
      </c>
      <c r="D437" t="s">
        <v>118</v>
      </c>
      <c r="E437" t="s">
        <v>47</v>
      </c>
      <c r="F437" t="s">
        <v>16</v>
      </c>
      <c r="G437" t="s">
        <v>29</v>
      </c>
      <c r="H437">
        <v>2</v>
      </c>
      <c r="I437">
        <v>4100</v>
      </c>
      <c r="J437">
        <v>0.1</v>
      </c>
      <c r="K437">
        <v>7380</v>
      </c>
      <c r="L437" t="s">
        <v>38</v>
      </c>
    </row>
    <row r="438" spans="1:12">
      <c r="A438" t="s">
        <v>792</v>
      </c>
      <c r="B438" t="s">
        <v>269</v>
      </c>
      <c r="C438" s="1">
        <v>46152</v>
      </c>
      <c r="D438" t="s">
        <v>389</v>
      </c>
      <c r="E438" t="s">
        <v>47</v>
      </c>
      <c r="F438" t="s">
        <v>16</v>
      </c>
      <c r="G438" t="s">
        <v>17</v>
      </c>
      <c r="H438">
        <v>1</v>
      </c>
      <c r="I438">
        <v>7400</v>
      </c>
      <c r="J438">
        <v>0.05</v>
      </c>
      <c r="K438">
        <v>7030</v>
      </c>
      <c r="L438" t="s">
        <v>72</v>
      </c>
    </row>
    <row r="439" spans="1:12">
      <c r="A439" t="s">
        <v>793</v>
      </c>
      <c r="B439" t="s">
        <v>424</v>
      </c>
      <c r="C439" s="1">
        <v>46063</v>
      </c>
      <c r="D439" t="s">
        <v>60</v>
      </c>
      <c r="E439" t="s">
        <v>28</v>
      </c>
      <c r="F439" t="s">
        <v>16</v>
      </c>
      <c r="G439" t="s">
        <v>17</v>
      </c>
      <c r="H439">
        <v>1</v>
      </c>
      <c r="I439">
        <v>12800</v>
      </c>
      <c r="J439">
        <v>0.05</v>
      </c>
      <c r="K439">
        <v>12160</v>
      </c>
      <c r="L439" t="s">
        <v>72</v>
      </c>
    </row>
    <row r="440" spans="1:12">
      <c r="A440" t="s">
        <v>794</v>
      </c>
      <c r="B440" t="s">
        <v>185</v>
      </c>
      <c r="C440" s="1">
        <v>46163</v>
      </c>
      <c r="D440" t="s">
        <v>389</v>
      </c>
      <c r="E440" t="s">
        <v>47</v>
      </c>
      <c r="F440" t="s">
        <v>16</v>
      </c>
      <c r="G440" t="s">
        <v>29</v>
      </c>
      <c r="H440">
        <v>2</v>
      </c>
      <c r="I440">
        <v>7400</v>
      </c>
      <c r="J440">
        <v>0.1</v>
      </c>
      <c r="K440">
        <v>13320</v>
      </c>
      <c r="L440" t="s">
        <v>38</v>
      </c>
    </row>
    <row r="441" spans="1:12">
      <c r="A441" t="s">
        <v>795</v>
      </c>
      <c r="B441" t="s">
        <v>796</v>
      </c>
      <c r="C441" s="1">
        <v>46202</v>
      </c>
      <c r="D441" t="s">
        <v>88</v>
      </c>
      <c r="E441" t="s">
        <v>15</v>
      </c>
      <c r="F441" t="s">
        <v>34</v>
      </c>
      <c r="G441" t="s">
        <v>23</v>
      </c>
      <c r="H441">
        <v>2</v>
      </c>
      <c r="I441">
        <v>4800</v>
      </c>
      <c r="J441">
        <v>0.1</v>
      </c>
      <c r="K441">
        <v>8640</v>
      </c>
      <c r="L441" t="s">
        <v>35</v>
      </c>
    </row>
    <row r="442" spans="1:12">
      <c r="A442" t="s">
        <v>797</v>
      </c>
      <c r="B442" t="s">
        <v>798</v>
      </c>
      <c r="C442" s="1">
        <v>46024</v>
      </c>
      <c r="D442" t="s">
        <v>77</v>
      </c>
      <c r="E442" t="s">
        <v>54</v>
      </c>
      <c r="F442" t="s">
        <v>34</v>
      </c>
      <c r="G442" t="s">
        <v>29</v>
      </c>
      <c r="H442">
        <v>2</v>
      </c>
      <c r="I442">
        <v>7200</v>
      </c>
      <c r="J442">
        <v>0.1</v>
      </c>
      <c r="K442">
        <v>12960</v>
      </c>
      <c r="L442" t="s">
        <v>35</v>
      </c>
    </row>
    <row r="443" spans="1:12">
      <c r="A443" t="s">
        <v>799</v>
      </c>
      <c r="B443" t="s">
        <v>207</v>
      </c>
      <c r="C443" s="1">
        <v>46169</v>
      </c>
      <c r="D443" t="s">
        <v>100</v>
      </c>
      <c r="E443" t="s">
        <v>28</v>
      </c>
      <c r="F443" t="s">
        <v>16</v>
      </c>
      <c r="G443" t="s">
        <v>29</v>
      </c>
      <c r="H443">
        <v>2</v>
      </c>
      <c r="I443">
        <v>4200</v>
      </c>
      <c r="J443">
        <v>0.05</v>
      </c>
      <c r="K443">
        <v>7980</v>
      </c>
      <c r="L443" t="s">
        <v>30</v>
      </c>
    </row>
    <row r="444" spans="1:12">
      <c r="A444" t="s">
        <v>800</v>
      </c>
      <c r="B444" t="s">
        <v>220</v>
      </c>
      <c r="C444" s="1">
        <v>46093</v>
      </c>
      <c r="D444" t="s">
        <v>100</v>
      </c>
      <c r="E444" t="s">
        <v>28</v>
      </c>
      <c r="F444" t="s">
        <v>34</v>
      </c>
      <c r="G444" t="s">
        <v>23</v>
      </c>
      <c r="H444">
        <v>1</v>
      </c>
      <c r="I444">
        <v>4200</v>
      </c>
      <c r="J444">
        <v>0.15</v>
      </c>
      <c r="K444">
        <v>3570</v>
      </c>
      <c r="L444" t="s">
        <v>142</v>
      </c>
    </row>
    <row r="445" spans="1:12">
      <c r="A445" t="s">
        <v>801</v>
      </c>
      <c r="B445" t="s">
        <v>802</v>
      </c>
      <c r="C445" s="1">
        <v>46244</v>
      </c>
      <c r="D445" t="s">
        <v>71</v>
      </c>
      <c r="E445" t="s">
        <v>47</v>
      </c>
      <c r="F445" t="s">
        <v>16</v>
      </c>
      <c r="G445" t="s">
        <v>23</v>
      </c>
      <c r="H445">
        <v>1</v>
      </c>
      <c r="I445">
        <v>5600</v>
      </c>
      <c r="J445">
        <v>0.1</v>
      </c>
      <c r="K445">
        <v>5040</v>
      </c>
      <c r="L445" t="s">
        <v>135</v>
      </c>
    </row>
    <row r="446" spans="1:12">
      <c r="A446" t="s">
        <v>803</v>
      </c>
      <c r="B446" t="s">
        <v>679</v>
      </c>
      <c r="C446" s="1">
        <v>46260</v>
      </c>
      <c r="D446" t="s">
        <v>60</v>
      </c>
      <c r="E446" t="s">
        <v>28</v>
      </c>
      <c r="F446" t="s">
        <v>16</v>
      </c>
      <c r="G446" t="s">
        <v>17</v>
      </c>
      <c r="H446">
        <v>2</v>
      </c>
      <c r="I446">
        <v>12800</v>
      </c>
      <c r="J446">
        <v>0.1</v>
      </c>
      <c r="K446">
        <v>23040</v>
      </c>
      <c r="L446" t="s">
        <v>61</v>
      </c>
    </row>
    <row r="447" spans="1:12">
      <c r="A447" t="s">
        <v>804</v>
      </c>
      <c r="B447" t="s">
        <v>335</v>
      </c>
      <c r="C447" s="1">
        <v>46115</v>
      </c>
      <c r="D447" t="s">
        <v>33</v>
      </c>
      <c r="E447" t="s">
        <v>28</v>
      </c>
      <c r="F447" t="s">
        <v>16</v>
      </c>
      <c r="G447" t="s">
        <v>17</v>
      </c>
      <c r="H447">
        <v>2</v>
      </c>
      <c r="I447">
        <v>8500</v>
      </c>
      <c r="J447">
        <v>0.1</v>
      </c>
      <c r="K447">
        <v>15300</v>
      </c>
      <c r="L447" t="s">
        <v>97</v>
      </c>
    </row>
    <row r="448" spans="1:12">
      <c r="A448" t="s">
        <v>805</v>
      </c>
      <c r="B448" t="s">
        <v>757</v>
      </c>
      <c r="C448" s="1">
        <v>46026</v>
      </c>
      <c r="D448" t="s">
        <v>96</v>
      </c>
      <c r="E448" t="s">
        <v>22</v>
      </c>
      <c r="F448" t="s">
        <v>16</v>
      </c>
      <c r="G448" t="s">
        <v>17</v>
      </c>
      <c r="H448">
        <v>1</v>
      </c>
      <c r="I448">
        <v>3200</v>
      </c>
      <c r="J448">
        <v>0</v>
      </c>
      <c r="K448">
        <v>3200</v>
      </c>
      <c r="L448" t="s">
        <v>24</v>
      </c>
    </row>
    <row r="449" spans="1:12">
      <c r="A449" t="s">
        <v>806</v>
      </c>
      <c r="B449" t="s">
        <v>807</v>
      </c>
      <c r="C449" s="1">
        <v>46258</v>
      </c>
      <c r="D449" t="s">
        <v>77</v>
      </c>
      <c r="E449" t="s">
        <v>54</v>
      </c>
      <c r="F449" t="s">
        <v>34</v>
      </c>
      <c r="G449" t="s">
        <v>23</v>
      </c>
      <c r="H449">
        <v>4</v>
      </c>
      <c r="I449">
        <v>7200</v>
      </c>
      <c r="J449">
        <v>0.1</v>
      </c>
      <c r="K449">
        <v>25920</v>
      </c>
      <c r="L449" t="s">
        <v>18</v>
      </c>
    </row>
    <row r="450" spans="1:12">
      <c r="A450" t="s">
        <v>808</v>
      </c>
      <c r="B450" t="s">
        <v>99</v>
      </c>
      <c r="C450" s="1">
        <v>46069</v>
      </c>
      <c r="D450" t="s">
        <v>60</v>
      </c>
      <c r="E450" t="s">
        <v>28</v>
      </c>
      <c r="F450" t="s">
        <v>16</v>
      </c>
      <c r="G450" t="s">
        <v>23</v>
      </c>
      <c r="H450">
        <v>2</v>
      </c>
      <c r="I450">
        <v>12800</v>
      </c>
      <c r="J450">
        <v>0</v>
      </c>
      <c r="K450">
        <v>25600</v>
      </c>
      <c r="L450" t="s">
        <v>30</v>
      </c>
    </row>
    <row r="451" spans="1:12">
      <c r="A451" t="s">
        <v>809</v>
      </c>
      <c r="B451" t="s">
        <v>405</v>
      </c>
      <c r="C451" s="1">
        <v>46097</v>
      </c>
      <c r="D451" t="s">
        <v>88</v>
      </c>
      <c r="E451" t="s">
        <v>15</v>
      </c>
      <c r="F451" t="s">
        <v>16</v>
      </c>
      <c r="G451" t="s">
        <v>17</v>
      </c>
      <c r="H451">
        <v>2</v>
      </c>
      <c r="I451">
        <v>4800</v>
      </c>
      <c r="J451">
        <v>0.1</v>
      </c>
      <c r="K451">
        <v>8640</v>
      </c>
      <c r="L451" t="s">
        <v>85</v>
      </c>
    </row>
    <row r="452" spans="1:12">
      <c r="A452" t="s">
        <v>810</v>
      </c>
      <c r="B452" t="s">
        <v>409</v>
      </c>
      <c r="C452" s="1">
        <v>46050</v>
      </c>
      <c r="D452" t="s">
        <v>53</v>
      </c>
      <c r="E452" t="s">
        <v>54</v>
      </c>
      <c r="F452" t="s">
        <v>16</v>
      </c>
      <c r="G452" t="s">
        <v>23</v>
      </c>
      <c r="H452">
        <v>1</v>
      </c>
      <c r="I452">
        <v>4500</v>
      </c>
      <c r="J452">
        <v>0.2</v>
      </c>
      <c r="K452">
        <v>3600</v>
      </c>
      <c r="L452" t="s">
        <v>68</v>
      </c>
    </row>
    <row r="453" spans="1:12">
      <c r="A453" t="s">
        <v>811</v>
      </c>
      <c r="B453" t="s">
        <v>610</v>
      </c>
      <c r="C453" s="1">
        <v>46160</v>
      </c>
      <c r="D453" t="s">
        <v>41</v>
      </c>
      <c r="E453" t="s">
        <v>15</v>
      </c>
      <c r="F453" t="s">
        <v>16</v>
      </c>
      <c r="G453" t="s">
        <v>17</v>
      </c>
      <c r="H453">
        <v>2</v>
      </c>
      <c r="I453">
        <v>5400</v>
      </c>
      <c r="J453">
        <v>0.1</v>
      </c>
      <c r="K453">
        <v>9720</v>
      </c>
      <c r="L453" t="s">
        <v>64</v>
      </c>
    </row>
    <row r="454" spans="1:12">
      <c r="A454" t="s">
        <v>812</v>
      </c>
      <c r="B454" t="s">
        <v>693</v>
      </c>
      <c r="C454" s="1">
        <v>46275</v>
      </c>
      <c r="D454" t="s">
        <v>67</v>
      </c>
      <c r="E454" t="s">
        <v>54</v>
      </c>
      <c r="F454" t="s">
        <v>16</v>
      </c>
      <c r="G454" t="s">
        <v>17</v>
      </c>
      <c r="H454">
        <v>3</v>
      </c>
      <c r="I454">
        <v>2800</v>
      </c>
      <c r="J454">
        <v>0.05</v>
      </c>
      <c r="K454">
        <v>7980</v>
      </c>
      <c r="L454" t="s">
        <v>113</v>
      </c>
    </row>
    <row r="455" spans="1:12">
      <c r="A455" t="s">
        <v>813</v>
      </c>
      <c r="B455" t="s">
        <v>448</v>
      </c>
      <c r="C455" s="1">
        <v>46186</v>
      </c>
      <c r="D455" t="s">
        <v>96</v>
      </c>
      <c r="E455" t="s">
        <v>22</v>
      </c>
      <c r="F455" t="s">
        <v>34</v>
      </c>
      <c r="G455" t="s">
        <v>17</v>
      </c>
      <c r="H455">
        <v>3</v>
      </c>
      <c r="I455">
        <v>3200</v>
      </c>
      <c r="J455">
        <v>0.15</v>
      </c>
      <c r="K455">
        <v>8160</v>
      </c>
      <c r="L455" t="s">
        <v>24</v>
      </c>
    </row>
    <row r="456" spans="1:12">
      <c r="A456" t="s">
        <v>814</v>
      </c>
      <c r="B456" t="s">
        <v>815</v>
      </c>
      <c r="C456" s="1">
        <v>46148</v>
      </c>
      <c r="D456" t="s">
        <v>21</v>
      </c>
      <c r="E456" t="s">
        <v>22</v>
      </c>
      <c r="F456" t="s">
        <v>16</v>
      </c>
      <c r="G456" t="s">
        <v>17</v>
      </c>
      <c r="H456">
        <v>2</v>
      </c>
      <c r="I456">
        <v>7600</v>
      </c>
      <c r="J456">
        <v>0.15</v>
      </c>
      <c r="K456">
        <v>12920</v>
      </c>
      <c r="L456" t="s">
        <v>64</v>
      </c>
    </row>
    <row r="457" spans="1:12">
      <c r="A457" t="s">
        <v>816</v>
      </c>
      <c r="B457" t="s">
        <v>548</v>
      </c>
      <c r="C457" s="1">
        <v>46172</v>
      </c>
      <c r="D457" t="s">
        <v>53</v>
      </c>
      <c r="E457" t="s">
        <v>54</v>
      </c>
      <c r="F457" t="s">
        <v>16</v>
      </c>
      <c r="G457" t="s">
        <v>17</v>
      </c>
      <c r="H457">
        <v>1</v>
      </c>
      <c r="I457">
        <v>4500</v>
      </c>
      <c r="J457">
        <v>0.2</v>
      </c>
      <c r="K457">
        <v>3600</v>
      </c>
      <c r="L457" t="s">
        <v>38</v>
      </c>
    </row>
    <row r="458" spans="1:12">
      <c r="A458" t="s">
        <v>817</v>
      </c>
      <c r="B458" t="s">
        <v>601</v>
      </c>
      <c r="C458" s="1">
        <v>46093</v>
      </c>
      <c r="D458" t="s">
        <v>27</v>
      </c>
      <c r="E458" t="s">
        <v>28</v>
      </c>
      <c r="F458" t="s">
        <v>16</v>
      </c>
      <c r="G458" t="s">
        <v>23</v>
      </c>
      <c r="H458">
        <v>2</v>
      </c>
      <c r="I458">
        <v>3500</v>
      </c>
      <c r="J458">
        <v>0.05</v>
      </c>
      <c r="K458">
        <v>6650</v>
      </c>
      <c r="L458" t="s">
        <v>135</v>
      </c>
    </row>
    <row r="459" spans="1:12">
      <c r="A459" t="s">
        <v>818</v>
      </c>
      <c r="B459" t="s">
        <v>819</v>
      </c>
      <c r="C459" s="1">
        <v>46146</v>
      </c>
      <c r="D459" t="s">
        <v>14</v>
      </c>
      <c r="E459" t="s">
        <v>15</v>
      </c>
      <c r="F459" t="s">
        <v>16</v>
      </c>
      <c r="G459" t="s">
        <v>17</v>
      </c>
      <c r="H459">
        <v>1</v>
      </c>
      <c r="I459">
        <v>7600</v>
      </c>
      <c r="J459">
        <v>0.15</v>
      </c>
      <c r="K459">
        <v>6460</v>
      </c>
      <c r="L459" t="s">
        <v>123</v>
      </c>
    </row>
    <row r="460" spans="1:12">
      <c r="A460" t="s">
        <v>820</v>
      </c>
      <c r="B460" t="s">
        <v>76</v>
      </c>
      <c r="C460" s="1">
        <v>46267</v>
      </c>
      <c r="D460" t="s">
        <v>33</v>
      </c>
      <c r="E460" t="s">
        <v>28</v>
      </c>
      <c r="F460" t="s">
        <v>34</v>
      </c>
      <c r="G460" t="s">
        <v>17</v>
      </c>
      <c r="H460">
        <v>1</v>
      </c>
      <c r="I460">
        <v>8500</v>
      </c>
      <c r="J460">
        <v>0.1</v>
      </c>
      <c r="K460">
        <v>7650</v>
      </c>
      <c r="L460" t="s">
        <v>72</v>
      </c>
    </row>
    <row r="461" spans="1:12">
      <c r="A461" t="s">
        <v>821</v>
      </c>
      <c r="B461" t="s">
        <v>432</v>
      </c>
      <c r="C461" s="1">
        <v>46229</v>
      </c>
      <c r="D461" t="s">
        <v>33</v>
      </c>
      <c r="E461" t="s">
        <v>28</v>
      </c>
      <c r="F461" t="s">
        <v>16</v>
      </c>
      <c r="G461" t="s">
        <v>17</v>
      </c>
      <c r="H461">
        <v>1</v>
      </c>
      <c r="I461">
        <v>8500</v>
      </c>
      <c r="J461">
        <v>0.05</v>
      </c>
      <c r="K461">
        <v>8075</v>
      </c>
      <c r="L461" t="s">
        <v>97</v>
      </c>
    </row>
    <row r="462" spans="1:12">
      <c r="A462" t="s">
        <v>822</v>
      </c>
      <c r="B462" t="s">
        <v>823</v>
      </c>
      <c r="C462" s="1">
        <v>46207</v>
      </c>
      <c r="D462" t="s">
        <v>84</v>
      </c>
      <c r="E462" t="s">
        <v>22</v>
      </c>
      <c r="F462" t="s">
        <v>16</v>
      </c>
      <c r="G462" t="s">
        <v>29</v>
      </c>
      <c r="H462">
        <v>1</v>
      </c>
      <c r="I462">
        <v>8900</v>
      </c>
      <c r="J462">
        <v>0.15</v>
      </c>
      <c r="K462">
        <v>7565</v>
      </c>
      <c r="L462" t="s">
        <v>97</v>
      </c>
    </row>
    <row r="463" spans="1:12">
      <c r="A463" t="s">
        <v>824</v>
      </c>
      <c r="B463" t="s">
        <v>825</v>
      </c>
      <c r="C463" s="1">
        <v>46103</v>
      </c>
      <c r="D463" t="s">
        <v>77</v>
      </c>
      <c r="E463" t="s">
        <v>54</v>
      </c>
      <c r="F463" t="s">
        <v>34</v>
      </c>
      <c r="G463" t="s">
        <v>23</v>
      </c>
      <c r="H463">
        <v>4</v>
      </c>
      <c r="I463">
        <v>7200</v>
      </c>
      <c r="J463">
        <v>0.2</v>
      </c>
      <c r="K463">
        <v>23040</v>
      </c>
      <c r="L463" t="s">
        <v>61</v>
      </c>
    </row>
    <row r="464" spans="1:12">
      <c r="A464" t="s">
        <v>826</v>
      </c>
      <c r="B464" t="s">
        <v>827</v>
      </c>
      <c r="C464" s="1">
        <v>46156</v>
      </c>
      <c r="D464" t="s">
        <v>27</v>
      </c>
      <c r="E464" t="s">
        <v>28</v>
      </c>
      <c r="F464" t="s">
        <v>34</v>
      </c>
      <c r="G464" t="s">
        <v>29</v>
      </c>
      <c r="H464">
        <v>1</v>
      </c>
      <c r="I464">
        <v>3500</v>
      </c>
      <c r="J464">
        <v>0.1</v>
      </c>
      <c r="K464">
        <v>3150</v>
      </c>
      <c r="L464" t="s">
        <v>85</v>
      </c>
    </row>
    <row r="465" spans="1:12">
      <c r="A465" t="s">
        <v>828</v>
      </c>
      <c r="B465" t="s">
        <v>727</v>
      </c>
      <c r="C465" s="1">
        <v>46277</v>
      </c>
      <c r="D465" t="s">
        <v>27</v>
      </c>
      <c r="E465" t="s">
        <v>28</v>
      </c>
      <c r="F465" t="s">
        <v>34</v>
      </c>
      <c r="G465" t="s">
        <v>17</v>
      </c>
      <c r="H465">
        <v>1</v>
      </c>
      <c r="I465">
        <v>3500</v>
      </c>
      <c r="J465">
        <v>0.2</v>
      </c>
      <c r="K465">
        <v>2800</v>
      </c>
      <c r="L465" t="s">
        <v>30</v>
      </c>
    </row>
    <row r="466" spans="1:12">
      <c r="A466" t="s">
        <v>829</v>
      </c>
      <c r="B466" t="s">
        <v>148</v>
      </c>
      <c r="C466" s="1">
        <v>46050</v>
      </c>
      <c r="D466" t="s">
        <v>115</v>
      </c>
      <c r="E466" t="s">
        <v>54</v>
      </c>
      <c r="F466" t="s">
        <v>34</v>
      </c>
      <c r="G466" t="s">
        <v>17</v>
      </c>
      <c r="H466">
        <v>1</v>
      </c>
      <c r="I466">
        <v>6800</v>
      </c>
      <c r="J466">
        <v>0</v>
      </c>
      <c r="K466">
        <v>6800</v>
      </c>
      <c r="L466" t="s">
        <v>38</v>
      </c>
    </row>
    <row r="467" spans="1:12">
      <c r="A467" t="s">
        <v>830</v>
      </c>
      <c r="B467" t="s">
        <v>831</v>
      </c>
      <c r="C467" s="1">
        <v>46133</v>
      </c>
      <c r="D467" t="s">
        <v>57</v>
      </c>
      <c r="E467" t="s">
        <v>54</v>
      </c>
      <c r="F467" t="s">
        <v>16</v>
      </c>
      <c r="G467" t="s">
        <v>29</v>
      </c>
      <c r="H467">
        <v>1</v>
      </c>
      <c r="I467">
        <v>2400</v>
      </c>
      <c r="J467">
        <v>0.1</v>
      </c>
      <c r="K467">
        <v>2160</v>
      </c>
      <c r="L467" t="s">
        <v>85</v>
      </c>
    </row>
    <row r="468" spans="1:12">
      <c r="A468" t="s">
        <v>832</v>
      </c>
      <c r="B468" t="s">
        <v>566</v>
      </c>
      <c r="C468" s="1">
        <v>46033</v>
      </c>
      <c r="D468" t="s">
        <v>21</v>
      </c>
      <c r="E468" t="s">
        <v>22</v>
      </c>
      <c r="F468" t="s">
        <v>16</v>
      </c>
      <c r="G468" t="s">
        <v>29</v>
      </c>
      <c r="H468">
        <v>1</v>
      </c>
      <c r="I468">
        <v>7600</v>
      </c>
      <c r="J468">
        <v>0.05</v>
      </c>
      <c r="K468">
        <v>7220</v>
      </c>
      <c r="L468" t="s">
        <v>24</v>
      </c>
    </row>
    <row r="469" spans="1:12">
      <c r="A469" t="s">
        <v>833</v>
      </c>
      <c r="B469" t="s">
        <v>134</v>
      </c>
      <c r="C469" s="1">
        <v>46213</v>
      </c>
      <c r="D469" t="s">
        <v>67</v>
      </c>
      <c r="E469" t="s">
        <v>54</v>
      </c>
      <c r="F469" t="s">
        <v>34</v>
      </c>
      <c r="G469" t="s">
        <v>17</v>
      </c>
      <c r="H469">
        <v>1</v>
      </c>
      <c r="I469">
        <v>2800</v>
      </c>
      <c r="J469">
        <v>0.15</v>
      </c>
      <c r="K469">
        <v>2380</v>
      </c>
      <c r="L469" t="s">
        <v>68</v>
      </c>
    </row>
    <row r="470" spans="1:12">
      <c r="A470" t="s">
        <v>834</v>
      </c>
      <c r="B470" t="s">
        <v>74</v>
      </c>
      <c r="C470" s="1">
        <v>46043</v>
      </c>
      <c r="D470" t="s">
        <v>112</v>
      </c>
      <c r="E470" t="s">
        <v>15</v>
      </c>
      <c r="F470" t="s">
        <v>16</v>
      </c>
      <c r="G470" t="s">
        <v>17</v>
      </c>
      <c r="H470">
        <v>1</v>
      </c>
      <c r="I470">
        <v>3200</v>
      </c>
      <c r="J470">
        <v>0</v>
      </c>
      <c r="K470">
        <v>3200</v>
      </c>
      <c r="L470" t="s">
        <v>72</v>
      </c>
    </row>
    <row r="471" spans="1:12">
      <c r="A471" t="s">
        <v>835</v>
      </c>
      <c r="B471" t="s">
        <v>309</v>
      </c>
      <c r="C471" s="1">
        <v>46123</v>
      </c>
      <c r="D471" t="s">
        <v>183</v>
      </c>
      <c r="E471" t="s">
        <v>15</v>
      </c>
      <c r="F471" t="s">
        <v>16</v>
      </c>
      <c r="G471" t="s">
        <v>23</v>
      </c>
      <c r="H471">
        <v>1</v>
      </c>
      <c r="I471">
        <v>9800</v>
      </c>
      <c r="J471">
        <v>0.05</v>
      </c>
      <c r="K471">
        <v>9310</v>
      </c>
      <c r="L471" t="s">
        <v>113</v>
      </c>
    </row>
    <row r="472" spans="1:12">
      <c r="A472" t="s">
        <v>836</v>
      </c>
      <c r="B472" t="s">
        <v>228</v>
      </c>
      <c r="C472" s="1">
        <v>46144</v>
      </c>
      <c r="D472" t="s">
        <v>77</v>
      </c>
      <c r="E472" t="s">
        <v>54</v>
      </c>
      <c r="F472" t="s">
        <v>34</v>
      </c>
      <c r="G472" t="s">
        <v>29</v>
      </c>
      <c r="H472">
        <v>1</v>
      </c>
      <c r="I472">
        <v>7200</v>
      </c>
      <c r="J472">
        <v>0</v>
      </c>
      <c r="K472">
        <v>7200</v>
      </c>
      <c r="L472" t="s">
        <v>72</v>
      </c>
    </row>
    <row r="473" spans="1:12">
      <c r="A473" t="s">
        <v>837</v>
      </c>
      <c r="B473" t="s">
        <v>37</v>
      </c>
      <c r="C473" s="1">
        <v>46170</v>
      </c>
      <c r="D473" t="s">
        <v>100</v>
      </c>
      <c r="E473" t="s">
        <v>28</v>
      </c>
      <c r="F473" t="s">
        <v>34</v>
      </c>
      <c r="G473" t="s">
        <v>29</v>
      </c>
      <c r="H473">
        <v>1</v>
      </c>
      <c r="I473">
        <v>4200</v>
      </c>
      <c r="J473">
        <v>0</v>
      </c>
      <c r="K473">
        <v>4200</v>
      </c>
      <c r="L473" t="s">
        <v>85</v>
      </c>
    </row>
    <row r="474" spans="1:12">
      <c r="A474" t="s">
        <v>838</v>
      </c>
      <c r="B474" t="s">
        <v>510</v>
      </c>
      <c r="C474" s="1">
        <v>46024</v>
      </c>
      <c r="D474" t="s">
        <v>91</v>
      </c>
      <c r="E474" t="s">
        <v>22</v>
      </c>
      <c r="F474" t="s">
        <v>16</v>
      </c>
      <c r="G474" t="s">
        <v>17</v>
      </c>
      <c r="H474">
        <v>2</v>
      </c>
      <c r="I474">
        <v>11500</v>
      </c>
      <c r="J474">
        <v>0.15</v>
      </c>
      <c r="K474">
        <v>19550</v>
      </c>
      <c r="L474" t="s">
        <v>85</v>
      </c>
    </row>
    <row r="475" spans="1:12">
      <c r="A475" t="s">
        <v>839</v>
      </c>
      <c r="B475" t="s">
        <v>117</v>
      </c>
      <c r="C475" s="1">
        <v>46031</v>
      </c>
      <c r="D475" t="s">
        <v>100</v>
      </c>
      <c r="E475" t="s">
        <v>28</v>
      </c>
      <c r="F475" t="s">
        <v>16</v>
      </c>
      <c r="G475" t="s">
        <v>17</v>
      </c>
      <c r="H475">
        <v>1</v>
      </c>
      <c r="I475">
        <v>4200</v>
      </c>
      <c r="J475">
        <v>0.05</v>
      </c>
      <c r="K475">
        <v>3990</v>
      </c>
      <c r="L475" t="s">
        <v>24</v>
      </c>
    </row>
    <row r="476" spans="1:12">
      <c r="A476" t="s">
        <v>840</v>
      </c>
      <c r="B476" t="s">
        <v>195</v>
      </c>
      <c r="C476" s="1">
        <v>46130</v>
      </c>
      <c r="D476" t="s">
        <v>84</v>
      </c>
      <c r="E476" t="s">
        <v>22</v>
      </c>
      <c r="F476" t="s">
        <v>16</v>
      </c>
      <c r="G476" t="s">
        <v>29</v>
      </c>
      <c r="H476">
        <v>2</v>
      </c>
      <c r="I476">
        <v>8900</v>
      </c>
      <c r="J476">
        <v>0.1</v>
      </c>
      <c r="K476">
        <v>16020</v>
      </c>
      <c r="L476" t="s">
        <v>68</v>
      </c>
    </row>
    <row r="477" spans="1:12">
      <c r="A477" t="s">
        <v>841</v>
      </c>
      <c r="B477" t="s">
        <v>842</v>
      </c>
      <c r="C477" s="1">
        <v>46175</v>
      </c>
      <c r="D477" t="s">
        <v>130</v>
      </c>
      <c r="E477" t="s">
        <v>22</v>
      </c>
      <c r="F477" t="s">
        <v>34</v>
      </c>
      <c r="G477" t="s">
        <v>17</v>
      </c>
      <c r="H477">
        <v>2</v>
      </c>
      <c r="I477">
        <v>5900</v>
      </c>
      <c r="J477">
        <v>0.1</v>
      </c>
      <c r="K477">
        <v>10620</v>
      </c>
      <c r="L477" t="s">
        <v>30</v>
      </c>
    </row>
    <row r="478" spans="1:12">
      <c r="A478" t="s">
        <v>843</v>
      </c>
      <c r="B478" t="s">
        <v>109</v>
      </c>
      <c r="C478" s="1">
        <v>46226</v>
      </c>
      <c r="D478" t="s">
        <v>389</v>
      </c>
      <c r="E478" t="s">
        <v>47</v>
      </c>
      <c r="F478" t="s">
        <v>34</v>
      </c>
      <c r="G478" t="s">
        <v>29</v>
      </c>
      <c r="H478">
        <v>3</v>
      </c>
      <c r="I478">
        <v>7400</v>
      </c>
      <c r="J478">
        <v>0.1</v>
      </c>
      <c r="K478">
        <v>19980</v>
      </c>
      <c r="L478" t="s">
        <v>135</v>
      </c>
    </row>
    <row r="479" spans="1:12">
      <c r="A479" t="s">
        <v>844</v>
      </c>
      <c r="B479" t="s">
        <v>845</v>
      </c>
      <c r="C479" s="1">
        <v>46184</v>
      </c>
      <c r="D479" t="s">
        <v>130</v>
      </c>
      <c r="E479" t="s">
        <v>22</v>
      </c>
      <c r="F479" t="s">
        <v>16</v>
      </c>
      <c r="G479" t="s">
        <v>17</v>
      </c>
      <c r="H479">
        <v>2</v>
      </c>
      <c r="I479">
        <v>5900</v>
      </c>
      <c r="J479">
        <v>0</v>
      </c>
      <c r="K479">
        <v>11800</v>
      </c>
      <c r="L479" t="s">
        <v>113</v>
      </c>
    </row>
    <row r="480" spans="1:12">
      <c r="A480" t="s">
        <v>846</v>
      </c>
      <c r="B480" t="s">
        <v>847</v>
      </c>
      <c r="C480" s="1">
        <v>46235</v>
      </c>
      <c r="D480" t="s">
        <v>67</v>
      </c>
      <c r="E480" t="s">
        <v>54</v>
      </c>
      <c r="F480" t="s">
        <v>16</v>
      </c>
      <c r="G480" t="s">
        <v>23</v>
      </c>
      <c r="H480">
        <v>1</v>
      </c>
      <c r="I480">
        <v>2800</v>
      </c>
      <c r="J480">
        <v>0.1</v>
      </c>
      <c r="K480">
        <v>2520</v>
      </c>
      <c r="L480" t="s">
        <v>68</v>
      </c>
    </row>
    <row r="481" spans="1:12">
      <c r="A481" t="s">
        <v>848</v>
      </c>
      <c r="B481" t="s">
        <v>412</v>
      </c>
      <c r="C481" s="1">
        <v>46075</v>
      </c>
      <c r="D481" t="s">
        <v>103</v>
      </c>
      <c r="E481" t="s">
        <v>47</v>
      </c>
      <c r="F481" t="s">
        <v>16</v>
      </c>
      <c r="G481" t="s">
        <v>17</v>
      </c>
      <c r="H481">
        <v>1</v>
      </c>
      <c r="I481">
        <v>3800</v>
      </c>
      <c r="J481">
        <v>0.15</v>
      </c>
      <c r="K481">
        <v>3230</v>
      </c>
      <c r="L481" t="s">
        <v>97</v>
      </c>
    </row>
    <row r="482" spans="1:12">
      <c r="A482" t="s">
        <v>849</v>
      </c>
      <c r="B482" t="s">
        <v>703</v>
      </c>
      <c r="C482" s="1">
        <v>46172</v>
      </c>
      <c r="D482" t="s">
        <v>112</v>
      </c>
      <c r="E482" t="s">
        <v>15</v>
      </c>
      <c r="F482" t="s">
        <v>16</v>
      </c>
      <c r="G482" t="s">
        <v>29</v>
      </c>
      <c r="H482">
        <v>1</v>
      </c>
      <c r="I482">
        <v>3200</v>
      </c>
      <c r="J482">
        <v>0</v>
      </c>
      <c r="K482">
        <v>3200</v>
      </c>
      <c r="L482" t="s">
        <v>123</v>
      </c>
    </row>
    <row r="483" spans="1:12">
      <c r="A483" t="s">
        <v>850</v>
      </c>
      <c r="B483" t="s">
        <v>631</v>
      </c>
      <c r="C483" s="1">
        <v>46174</v>
      </c>
      <c r="D483" t="s">
        <v>100</v>
      </c>
      <c r="E483" t="s">
        <v>28</v>
      </c>
      <c r="F483" t="s">
        <v>16</v>
      </c>
      <c r="G483" t="s">
        <v>29</v>
      </c>
      <c r="H483">
        <v>1</v>
      </c>
      <c r="I483">
        <v>4200</v>
      </c>
      <c r="J483">
        <v>0.2</v>
      </c>
      <c r="K483">
        <v>3360</v>
      </c>
      <c r="L483" t="s">
        <v>61</v>
      </c>
    </row>
    <row r="484" spans="1:12">
      <c r="A484" t="s">
        <v>851</v>
      </c>
      <c r="B484" t="s">
        <v>722</v>
      </c>
      <c r="C484" s="1">
        <v>46118</v>
      </c>
      <c r="D484" t="s">
        <v>130</v>
      </c>
      <c r="E484" t="s">
        <v>22</v>
      </c>
      <c r="F484" t="s">
        <v>16</v>
      </c>
      <c r="G484" t="s">
        <v>29</v>
      </c>
      <c r="H484">
        <v>1</v>
      </c>
      <c r="I484">
        <v>5900</v>
      </c>
      <c r="J484">
        <v>0.1</v>
      </c>
      <c r="K484">
        <v>5310</v>
      </c>
      <c r="L484" t="s">
        <v>18</v>
      </c>
    </row>
    <row r="485" spans="1:12">
      <c r="A485" t="s">
        <v>852</v>
      </c>
      <c r="B485" t="s">
        <v>853</v>
      </c>
      <c r="C485" s="1">
        <v>46180</v>
      </c>
      <c r="D485" t="s">
        <v>21</v>
      </c>
      <c r="E485" t="s">
        <v>22</v>
      </c>
      <c r="F485" t="s">
        <v>16</v>
      </c>
      <c r="G485" t="s">
        <v>23</v>
      </c>
      <c r="H485">
        <v>2</v>
      </c>
      <c r="I485">
        <v>7600</v>
      </c>
      <c r="J485">
        <v>0.2</v>
      </c>
      <c r="K485">
        <v>12160</v>
      </c>
      <c r="L485" t="s">
        <v>30</v>
      </c>
    </row>
    <row r="486" spans="1:12">
      <c r="A486" t="s">
        <v>854</v>
      </c>
      <c r="B486" t="s">
        <v>424</v>
      </c>
      <c r="C486" s="1">
        <v>46243</v>
      </c>
      <c r="D486" t="s">
        <v>88</v>
      </c>
      <c r="E486" t="s">
        <v>15</v>
      </c>
      <c r="F486" t="s">
        <v>16</v>
      </c>
      <c r="G486" t="s">
        <v>17</v>
      </c>
      <c r="H486">
        <v>2</v>
      </c>
      <c r="I486">
        <v>4800</v>
      </c>
      <c r="J486">
        <v>0.05</v>
      </c>
      <c r="K486">
        <v>9120</v>
      </c>
      <c r="L486" t="s">
        <v>142</v>
      </c>
    </row>
    <row r="487" spans="1:12">
      <c r="A487" t="s">
        <v>855</v>
      </c>
      <c r="B487" t="s">
        <v>856</v>
      </c>
      <c r="C487" s="1">
        <v>46284</v>
      </c>
      <c r="D487" t="s">
        <v>33</v>
      </c>
      <c r="E487" t="s">
        <v>28</v>
      </c>
      <c r="F487" t="s">
        <v>16</v>
      </c>
      <c r="G487" t="s">
        <v>17</v>
      </c>
      <c r="H487">
        <v>2</v>
      </c>
      <c r="I487">
        <v>8500</v>
      </c>
      <c r="J487">
        <v>0.1</v>
      </c>
      <c r="K487">
        <v>15300</v>
      </c>
      <c r="L487" t="s">
        <v>85</v>
      </c>
    </row>
    <row r="488" spans="1:12">
      <c r="A488" t="s">
        <v>857</v>
      </c>
      <c r="B488" t="s">
        <v>457</v>
      </c>
      <c r="C488" s="1">
        <v>46209</v>
      </c>
      <c r="D488" t="s">
        <v>96</v>
      </c>
      <c r="E488" t="s">
        <v>22</v>
      </c>
      <c r="F488" t="s">
        <v>16</v>
      </c>
      <c r="G488" t="s">
        <v>23</v>
      </c>
      <c r="H488">
        <v>1</v>
      </c>
      <c r="I488">
        <v>3200</v>
      </c>
      <c r="J488">
        <v>0.15</v>
      </c>
      <c r="K488">
        <v>2720</v>
      </c>
      <c r="L488" t="s">
        <v>24</v>
      </c>
    </row>
    <row r="489" spans="1:12">
      <c r="A489" t="s">
        <v>858</v>
      </c>
      <c r="B489" t="s">
        <v>292</v>
      </c>
      <c r="C489" s="1">
        <v>46132</v>
      </c>
      <c r="D489" t="s">
        <v>118</v>
      </c>
      <c r="E489" t="s">
        <v>47</v>
      </c>
      <c r="F489" t="s">
        <v>16</v>
      </c>
      <c r="G489" t="s">
        <v>17</v>
      </c>
      <c r="H489">
        <v>1</v>
      </c>
      <c r="I489">
        <v>4100</v>
      </c>
      <c r="J489">
        <v>0.15</v>
      </c>
      <c r="K489">
        <v>3485</v>
      </c>
      <c r="L489" t="s">
        <v>35</v>
      </c>
    </row>
    <row r="490" spans="1:12">
      <c r="A490" t="s">
        <v>859</v>
      </c>
      <c r="B490" t="s">
        <v>860</v>
      </c>
      <c r="C490" s="1">
        <v>46135</v>
      </c>
      <c r="D490" t="s">
        <v>96</v>
      </c>
      <c r="E490" t="s">
        <v>22</v>
      </c>
      <c r="F490" t="s">
        <v>34</v>
      </c>
      <c r="G490" t="s">
        <v>17</v>
      </c>
      <c r="H490">
        <v>3</v>
      </c>
      <c r="I490">
        <v>3200</v>
      </c>
      <c r="J490">
        <v>0.05</v>
      </c>
      <c r="K490">
        <v>9120</v>
      </c>
      <c r="L490" t="s">
        <v>72</v>
      </c>
    </row>
    <row r="491" spans="1:12">
      <c r="A491" t="s">
        <v>861</v>
      </c>
      <c r="B491" t="s">
        <v>862</v>
      </c>
      <c r="C491" s="1">
        <v>46046</v>
      </c>
      <c r="D491" t="s">
        <v>91</v>
      </c>
      <c r="E491" t="s">
        <v>22</v>
      </c>
      <c r="F491" t="s">
        <v>34</v>
      </c>
      <c r="G491" t="s">
        <v>29</v>
      </c>
      <c r="H491">
        <v>2</v>
      </c>
      <c r="I491">
        <v>11500</v>
      </c>
      <c r="J491">
        <v>0</v>
      </c>
      <c r="K491">
        <v>23000</v>
      </c>
      <c r="L491" t="s">
        <v>113</v>
      </c>
    </row>
    <row r="492" spans="1:12">
      <c r="A492" t="s">
        <v>863</v>
      </c>
      <c r="B492" t="s">
        <v>13</v>
      </c>
      <c r="C492" s="1">
        <v>46049</v>
      </c>
      <c r="D492" t="s">
        <v>67</v>
      </c>
      <c r="E492" t="s">
        <v>54</v>
      </c>
      <c r="F492" t="s">
        <v>16</v>
      </c>
      <c r="G492" t="s">
        <v>29</v>
      </c>
      <c r="H492">
        <v>3</v>
      </c>
      <c r="I492">
        <v>2800</v>
      </c>
      <c r="J492">
        <v>0.15</v>
      </c>
      <c r="K492">
        <v>7140</v>
      </c>
      <c r="L492" t="s">
        <v>123</v>
      </c>
    </row>
    <row r="493" spans="1:12">
      <c r="A493" t="s">
        <v>864</v>
      </c>
      <c r="B493" t="s">
        <v>190</v>
      </c>
      <c r="C493" s="1">
        <v>46031</v>
      </c>
      <c r="D493" t="s">
        <v>115</v>
      </c>
      <c r="E493" t="s">
        <v>54</v>
      </c>
      <c r="F493" t="s">
        <v>34</v>
      </c>
      <c r="G493" t="s">
        <v>29</v>
      </c>
      <c r="H493">
        <v>4</v>
      </c>
      <c r="I493">
        <v>6800</v>
      </c>
      <c r="J493">
        <v>0.1</v>
      </c>
      <c r="K493">
        <v>24480</v>
      </c>
      <c r="L493" t="s">
        <v>35</v>
      </c>
    </row>
    <row r="494" spans="1:12">
      <c r="A494" t="s">
        <v>865</v>
      </c>
      <c r="B494" t="s">
        <v>761</v>
      </c>
      <c r="C494" s="1">
        <v>46232</v>
      </c>
      <c r="D494" t="s">
        <v>27</v>
      </c>
      <c r="E494" t="s">
        <v>28</v>
      </c>
      <c r="F494" t="s">
        <v>34</v>
      </c>
      <c r="G494" t="s">
        <v>29</v>
      </c>
      <c r="H494">
        <v>2</v>
      </c>
      <c r="I494">
        <v>3500</v>
      </c>
      <c r="J494">
        <v>0.1</v>
      </c>
      <c r="K494">
        <v>6300</v>
      </c>
      <c r="L494" t="s">
        <v>30</v>
      </c>
    </row>
    <row r="495" spans="1:12">
      <c r="A495" t="s">
        <v>866</v>
      </c>
      <c r="B495" t="s">
        <v>737</v>
      </c>
      <c r="C495" s="1">
        <v>46245</v>
      </c>
      <c r="D495" t="s">
        <v>60</v>
      </c>
      <c r="E495" t="s">
        <v>28</v>
      </c>
      <c r="F495" t="s">
        <v>34</v>
      </c>
      <c r="G495" t="s">
        <v>17</v>
      </c>
      <c r="H495">
        <v>1</v>
      </c>
      <c r="I495">
        <v>12800</v>
      </c>
      <c r="J495">
        <v>0</v>
      </c>
      <c r="K495">
        <v>12800</v>
      </c>
      <c r="L495" t="s">
        <v>123</v>
      </c>
    </row>
    <row r="496" spans="1:12">
      <c r="A496" t="s">
        <v>867</v>
      </c>
      <c r="B496" t="s">
        <v>420</v>
      </c>
      <c r="C496" s="1">
        <v>46195</v>
      </c>
      <c r="D496" t="s">
        <v>100</v>
      </c>
      <c r="E496" t="s">
        <v>28</v>
      </c>
      <c r="F496" t="s">
        <v>16</v>
      </c>
      <c r="G496" t="s">
        <v>17</v>
      </c>
      <c r="H496">
        <v>3</v>
      </c>
      <c r="I496">
        <v>4200</v>
      </c>
      <c r="J496">
        <v>0</v>
      </c>
      <c r="K496">
        <v>12600</v>
      </c>
      <c r="L496" t="s">
        <v>85</v>
      </c>
    </row>
    <row r="497" spans="1:12">
      <c r="A497" t="s">
        <v>868</v>
      </c>
      <c r="B497" t="s">
        <v>405</v>
      </c>
      <c r="C497" s="1">
        <v>46214</v>
      </c>
      <c r="D497" t="s">
        <v>91</v>
      </c>
      <c r="E497" t="s">
        <v>22</v>
      </c>
      <c r="F497" t="s">
        <v>16</v>
      </c>
      <c r="G497" t="s">
        <v>23</v>
      </c>
      <c r="H497">
        <v>1</v>
      </c>
      <c r="I497">
        <v>11500</v>
      </c>
      <c r="J497">
        <v>0.05</v>
      </c>
      <c r="K497">
        <v>10925</v>
      </c>
      <c r="L497" t="s">
        <v>38</v>
      </c>
    </row>
    <row r="498" spans="1:12">
      <c r="A498" t="s">
        <v>869</v>
      </c>
      <c r="B498" t="s">
        <v>276</v>
      </c>
      <c r="C498" s="1">
        <v>46106</v>
      </c>
      <c r="D498" t="s">
        <v>60</v>
      </c>
      <c r="E498" t="s">
        <v>28</v>
      </c>
      <c r="F498" t="s">
        <v>16</v>
      </c>
      <c r="G498" t="s">
        <v>29</v>
      </c>
      <c r="H498">
        <v>1</v>
      </c>
      <c r="I498">
        <v>12800</v>
      </c>
      <c r="J498">
        <v>0.2</v>
      </c>
      <c r="K498">
        <v>10240</v>
      </c>
      <c r="L498" t="s">
        <v>123</v>
      </c>
    </row>
    <row r="499" spans="1:12">
      <c r="A499" t="s">
        <v>870</v>
      </c>
      <c r="B499" t="s">
        <v>598</v>
      </c>
      <c r="C499" s="1">
        <v>46161</v>
      </c>
      <c r="D499" t="s">
        <v>71</v>
      </c>
      <c r="E499" t="s">
        <v>47</v>
      </c>
      <c r="F499" t="s">
        <v>34</v>
      </c>
      <c r="G499" t="s">
        <v>17</v>
      </c>
      <c r="H499">
        <v>4</v>
      </c>
      <c r="I499">
        <v>5600</v>
      </c>
      <c r="J499">
        <v>0</v>
      </c>
      <c r="K499">
        <v>22400</v>
      </c>
      <c r="L499" t="s">
        <v>68</v>
      </c>
    </row>
    <row r="500" spans="1:12">
      <c r="A500" t="s">
        <v>871</v>
      </c>
      <c r="B500" t="s">
        <v>872</v>
      </c>
      <c r="C500" s="1">
        <v>46119</v>
      </c>
      <c r="D500" t="s">
        <v>112</v>
      </c>
      <c r="E500" t="s">
        <v>15</v>
      </c>
      <c r="F500" t="s">
        <v>34</v>
      </c>
      <c r="G500" t="s">
        <v>29</v>
      </c>
      <c r="H500">
        <v>1</v>
      </c>
      <c r="I500">
        <v>3200</v>
      </c>
      <c r="J500">
        <v>0.05</v>
      </c>
      <c r="K500">
        <v>3040</v>
      </c>
      <c r="L500" t="s">
        <v>18</v>
      </c>
    </row>
    <row r="501" spans="1:12">
      <c r="A501" t="s">
        <v>873</v>
      </c>
      <c r="B501" t="s">
        <v>874</v>
      </c>
      <c r="C501" s="1">
        <v>46246</v>
      </c>
      <c r="D501" t="s">
        <v>50</v>
      </c>
      <c r="E501" t="s">
        <v>28</v>
      </c>
      <c r="F501" t="s">
        <v>16</v>
      </c>
      <c r="G501" t="s">
        <v>17</v>
      </c>
      <c r="H501">
        <v>2</v>
      </c>
      <c r="I501">
        <v>6200</v>
      </c>
      <c r="J501">
        <v>0</v>
      </c>
      <c r="K501">
        <v>12400</v>
      </c>
      <c r="L501" t="s">
        <v>72</v>
      </c>
    </row>
    <row r="502" spans="1:12">
      <c r="A502" t="s">
        <v>875</v>
      </c>
      <c r="B502" t="s">
        <v>876</v>
      </c>
      <c r="C502" s="1">
        <v>46175</v>
      </c>
      <c r="D502" t="s">
        <v>96</v>
      </c>
      <c r="E502" t="s">
        <v>22</v>
      </c>
      <c r="F502" t="s">
        <v>16</v>
      </c>
      <c r="G502" t="s">
        <v>17</v>
      </c>
      <c r="H502">
        <v>2</v>
      </c>
      <c r="I502">
        <v>3200</v>
      </c>
      <c r="J502">
        <v>0.05</v>
      </c>
      <c r="K502">
        <v>6080</v>
      </c>
      <c r="L502" t="s">
        <v>135</v>
      </c>
    </row>
    <row r="503" spans="1:12">
      <c r="A503" t="s">
        <v>877</v>
      </c>
      <c r="B503" t="s">
        <v>243</v>
      </c>
      <c r="C503" s="1">
        <v>46087</v>
      </c>
      <c r="D503" t="s">
        <v>112</v>
      </c>
      <c r="E503" t="s">
        <v>15</v>
      </c>
      <c r="F503" t="s">
        <v>16</v>
      </c>
      <c r="G503" t="s">
        <v>17</v>
      </c>
      <c r="H503">
        <v>4</v>
      </c>
      <c r="I503">
        <v>3200</v>
      </c>
      <c r="J503">
        <v>0.05</v>
      </c>
      <c r="K503">
        <v>12160</v>
      </c>
      <c r="L503" t="s">
        <v>61</v>
      </c>
    </row>
    <row r="504" spans="1:12">
      <c r="A504" t="s">
        <v>878</v>
      </c>
      <c r="B504" t="s">
        <v>879</v>
      </c>
      <c r="C504" s="1">
        <v>46184</v>
      </c>
      <c r="D504" t="s">
        <v>112</v>
      </c>
      <c r="E504" t="s">
        <v>15</v>
      </c>
      <c r="F504" t="s">
        <v>16</v>
      </c>
      <c r="G504" t="s">
        <v>17</v>
      </c>
      <c r="H504">
        <v>1</v>
      </c>
      <c r="I504">
        <v>3200</v>
      </c>
      <c r="J504">
        <v>0.05</v>
      </c>
      <c r="K504">
        <v>3040</v>
      </c>
      <c r="L504" t="s">
        <v>64</v>
      </c>
    </row>
    <row r="505" spans="1:12">
      <c r="A505" t="s">
        <v>880</v>
      </c>
      <c r="B505" t="s">
        <v>881</v>
      </c>
      <c r="C505" s="1">
        <v>46053</v>
      </c>
      <c r="D505" t="s">
        <v>46</v>
      </c>
      <c r="E505" t="s">
        <v>47</v>
      </c>
      <c r="F505" t="s">
        <v>34</v>
      </c>
      <c r="G505" t="s">
        <v>17</v>
      </c>
      <c r="H505">
        <v>1</v>
      </c>
      <c r="I505">
        <v>9200</v>
      </c>
      <c r="J505">
        <v>0.1</v>
      </c>
      <c r="K505">
        <v>8280</v>
      </c>
      <c r="L505" t="s">
        <v>135</v>
      </c>
    </row>
    <row r="506" spans="1:12">
      <c r="A506" t="s">
        <v>882</v>
      </c>
      <c r="B506" t="s">
        <v>305</v>
      </c>
      <c r="C506" s="1">
        <v>46239</v>
      </c>
      <c r="D506" t="s">
        <v>115</v>
      </c>
      <c r="E506" t="s">
        <v>54</v>
      </c>
      <c r="F506" t="s">
        <v>16</v>
      </c>
      <c r="G506" t="s">
        <v>17</v>
      </c>
      <c r="H506">
        <v>1</v>
      </c>
      <c r="I506">
        <v>6800</v>
      </c>
      <c r="J506">
        <v>0.1</v>
      </c>
      <c r="K506">
        <v>6120</v>
      </c>
      <c r="L506" t="s">
        <v>64</v>
      </c>
    </row>
    <row r="507" spans="1:12">
      <c r="A507" t="s">
        <v>883</v>
      </c>
      <c r="B507" t="s">
        <v>338</v>
      </c>
      <c r="C507" s="1">
        <v>46291</v>
      </c>
      <c r="D507" t="s">
        <v>57</v>
      </c>
      <c r="E507" t="s">
        <v>54</v>
      </c>
      <c r="F507" t="s">
        <v>34</v>
      </c>
      <c r="G507" t="s">
        <v>17</v>
      </c>
      <c r="H507">
        <v>1</v>
      </c>
      <c r="I507">
        <v>2400</v>
      </c>
      <c r="J507">
        <v>0.05</v>
      </c>
      <c r="K507">
        <v>2280</v>
      </c>
      <c r="L507" t="s">
        <v>72</v>
      </c>
    </row>
    <row r="508" spans="1:12">
      <c r="A508" t="s">
        <v>884</v>
      </c>
      <c r="B508" t="s">
        <v>400</v>
      </c>
      <c r="C508" s="1">
        <v>46182</v>
      </c>
      <c r="D508" t="s">
        <v>130</v>
      </c>
      <c r="E508" t="s">
        <v>22</v>
      </c>
      <c r="F508" t="s">
        <v>34</v>
      </c>
      <c r="G508" t="s">
        <v>29</v>
      </c>
      <c r="H508">
        <v>3</v>
      </c>
      <c r="I508">
        <v>5900</v>
      </c>
      <c r="J508">
        <v>0</v>
      </c>
      <c r="K508">
        <v>17700</v>
      </c>
      <c r="L508" t="s">
        <v>72</v>
      </c>
    </row>
    <row r="509" spans="1:12">
      <c r="A509" t="s">
        <v>885</v>
      </c>
      <c r="B509" t="s">
        <v>886</v>
      </c>
      <c r="C509" s="1">
        <v>46206</v>
      </c>
      <c r="D509" t="s">
        <v>41</v>
      </c>
      <c r="E509" t="s">
        <v>15</v>
      </c>
      <c r="F509" t="s">
        <v>16</v>
      </c>
      <c r="G509" t="s">
        <v>29</v>
      </c>
      <c r="H509">
        <v>1</v>
      </c>
      <c r="I509">
        <v>5400</v>
      </c>
      <c r="J509">
        <v>0.15</v>
      </c>
      <c r="K509">
        <v>4590</v>
      </c>
      <c r="L509" t="s">
        <v>18</v>
      </c>
    </row>
    <row r="510" spans="1:12">
      <c r="A510" t="s">
        <v>887</v>
      </c>
      <c r="B510" t="s">
        <v>888</v>
      </c>
      <c r="C510" s="1">
        <v>46293</v>
      </c>
      <c r="D510" t="s">
        <v>112</v>
      </c>
      <c r="E510" t="s">
        <v>15</v>
      </c>
      <c r="F510" t="s">
        <v>16</v>
      </c>
      <c r="G510" t="s">
        <v>29</v>
      </c>
      <c r="H510">
        <v>1</v>
      </c>
      <c r="I510">
        <v>3200</v>
      </c>
      <c r="J510">
        <v>0</v>
      </c>
      <c r="K510">
        <v>3200</v>
      </c>
      <c r="L510" t="s">
        <v>123</v>
      </c>
    </row>
    <row r="511" spans="1:12">
      <c r="A511" t="s">
        <v>889</v>
      </c>
      <c r="B511" t="s">
        <v>890</v>
      </c>
      <c r="C511" s="1">
        <v>46192</v>
      </c>
      <c r="D511" t="s">
        <v>27</v>
      </c>
      <c r="E511" t="s">
        <v>28</v>
      </c>
      <c r="F511" t="s">
        <v>34</v>
      </c>
      <c r="G511" t="s">
        <v>29</v>
      </c>
      <c r="H511">
        <v>1</v>
      </c>
      <c r="I511">
        <v>3500</v>
      </c>
      <c r="J511">
        <v>0.15</v>
      </c>
      <c r="K511">
        <v>2975</v>
      </c>
      <c r="L511" t="s">
        <v>113</v>
      </c>
    </row>
    <row r="512" spans="1:12">
      <c r="A512" t="s">
        <v>891</v>
      </c>
      <c r="B512" t="s">
        <v>892</v>
      </c>
      <c r="C512" s="1">
        <v>46141</v>
      </c>
      <c r="D512" t="s">
        <v>183</v>
      </c>
      <c r="E512" t="s">
        <v>15</v>
      </c>
      <c r="F512" t="s">
        <v>34</v>
      </c>
      <c r="G512" t="s">
        <v>29</v>
      </c>
      <c r="H512">
        <v>2</v>
      </c>
      <c r="I512">
        <v>9800</v>
      </c>
      <c r="J512">
        <v>0.1</v>
      </c>
      <c r="K512">
        <v>17640</v>
      </c>
      <c r="L512" t="s">
        <v>18</v>
      </c>
    </row>
    <row r="513" spans="1:12">
      <c r="A513" t="s">
        <v>893</v>
      </c>
      <c r="B513" t="s">
        <v>894</v>
      </c>
      <c r="C513" s="1">
        <v>46283</v>
      </c>
      <c r="D513" t="s">
        <v>27</v>
      </c>
      <c r="E513" t="s">
        <v>28</v>
      </c>
      <c r="F513" t="s">
        <v>16</v>
      </c>
      <c r="G513" t="s">
        <v>23</v>
      </c>
      <c r="H513">
        <v>1</v>
      </c>
      <c r="I513">
        <v>3500</v>
      </c>
      <c r="J513">
        <v>0.1</v>
      </c>
      <c r="K513">
        <v>3150</v>
      </c>
      <c r="L513" t="s">
        <v>35</v>
      </c>
    </row>
    <row r="514" spans="1:12">
      <c r="A514" t="s">
        <v>895</v>
      </c>
      <c r="B514" t="s">
        <v>790</v>
      </c>
      <c r="C514" s="1">
        <v>46235</v>
      </c>
      <c r="D514" t="s">
        <v>103</v>
      </c>
      <c r="E514" t="s">
        <v>47</v>
      </c>
      <c r="F514" t="s">
        <v>16</v>
      </c>
      <c r="G514" t="s">
        <v>17</v>
      </c>
      <c r="H514">
        <v>1</v>
      </c>
      <c r="I514">
        <v>3800</v>
      </c>
      <c r="J514">
        <v>0.15</v>
      </c>
      <c r="K514">
        <v>3230</v>
      </c>
      <c r="L514" t="s">
        <v>142</v>
      </c>
    </row>
    <row r="515" spans="1:12">
      <c r="A515" t="s">
        <v>896</v>
      </c>
      <c r="B515" t="s">
        <v>897</v>
      </c>
      <c r="C515" s="1">
        <v>46196</v>
      </c>
      <c r="D515" t="s">
        <v>118</v>
      </c>
      <c r="E515" t="s">
        <v>47</v>
      </c>
      <c r="F515" t="s">
        <v>16</v>
      </c>
      <c r="G515" t="s">
        <v>17</v>
      </c>
      <c r="H515">
        <v>1</v>
      </c>
      <c r="I515">
        <v>4100</v>
      </c>
      <c r="J515">
        <v>0.15</v>
      </c>
      <c r="K515">
        <v>3485</v>
      </c>
      <c r="L515" t="s">
        <v>113</v>
      </c>
    </row>
    <row r="516" spans="1:12">
      <c r="A516" t="s">
        <v>898</v>
      </c>
      <c r="B516" t="s">
        <v>899</v>
      </c>
      <c r="C516" s="1">
        <v>46111</v>
      </c>
      <c r="D516" t="s">
        <v>100</v>
      </c>
      <c r="E516" t="s">
        <v>28</v>
      </c>
      <c r="F516" t="s">
        <v>34</v>
      </c>
      <c r="G516" t="s">
        <v>29</v>
      </c>
      <c r="H516">
        <v>1</v>
      </c>
      <c r="I516">
        <v>4200</v>
      </c>
      <c r="J516">
        <v>0.1</v>
      </c>
      <c r="K516">
        <v>3780</v>
      </c>
      <c r="L516" t="s">
        <v>24</v>
      </c>
    </row>
    <row r="517" spans="1:12">
      <c r="A517" t="s">
        <v>900</v>
      </c>
      <c r="B517" t="s">
        <v>901</v>
      </c>
      <c r="C517" s="1">
        <v>46036</v>
      </c>
      <c r="D517" t="s">
        <v>118</v>
      </c>
      <c r="E517" t="s">
        <v>47</v>
      </c>
      <c r="F517" t="s">
        <v>34</v>
      </c>
      <c r="G517" t="s">
        <v>17</v>
      </c>
      <c r="H517">
        <v>1</v>
      </c>
      <c r="I517">
        <v>4100</v>
      </c>
      <c r="J517">
        <v>0.2</v>
      </c>
      <c r="K517">
        <v>3280</v>
      </c>
      <c r="L517" t="s">
        <v>61</v>
      </c>
    </row>
    <row r="518" spans="1:12">
      <c r="A518" t="s">
        <v>902</v>
      </c>
      <c r="B518" t="s">
        <v>504</v>
      </c>
      <c r="C518" s="1">
        <v>46077</v>
      </c>
      <c r="D518" t="s">
        <v>96</v>
      </c>
      <c r="E518" t="s">
        <v>22</v>
      </c>
      <c r="F518" t="s">
        <v>34</v>
      </c>
      <c r="G518" t="s">
        <v>29</v>
      </c>
      <c r="H518">
        <v>1</v>
      </c>
      <c r="I518">
        <v>3200</v>
      </c>
      <c r="J518">
        <v>0</v>
      </c>
      <c r="K518">
        <v>3200</v>
      </c>
      <c r="L518" t="s">
        <v>38</v>
      </c>
    </row>
    <row r="519" spans="1:12">
      <c r="A519" t="s">
        <v>903</v>
      </c>
      <c r="B519" t="s">
        <v>904</v>
      </c>
      <c r="C519" s="1">
        <v>46263</v>
      </c>
      <c r="D519" t="s">
        <v>33</v>
      </c>
      <c r="E519" t="s">
        <v>28</v>
      </c>
      <c r="F519" t="s">
        <v>16</v>
      </c>
      <c r="G519" t="s">
        <v>17</v>
      </c>
      <c r="H519">
        <v>2</v>
      </c>
      <c r="I519">
        <v>8500</v>
      </c>
      <c r="J519">
        <v>0</v>
      </c>
      <c r="K519">
        <v>17000</v>
      </c>
      <c r="L519" t="s">
        <v>72</v>
      </c>
    </row>
    <row r="520" spans="1:12">
      <c r="A520" t="s">
        <v>905</v>
      </c>
      <c r="B520" t="s">
        <v>476</v>
      </c>
      <c r="C520" s="1">
        <v>46222</v>
      </c>
      <c r="D520" t="s">
        <v>96</v>
      </c>
      <c r="E520" t="s">
        <v>22</v>
      </c>
      <c r="F520" t="s">
        <v>34</v>
      </c>
      <c r="G520" t="s">
        <v>17</v>
      </c>
      <c r="H520">
        <v>1</v>
      </c>
      <c r="I520">
        <v>3200</v>
      </c>
      <c r="J520">
        <v>0.05</v>
      </c>
      <c r="K520">
        <v>3040</v>
      </c>
      <c r="L520" t="s">
        <v>30</v>
      </c>
    </row>
    <row r="521" spans="1:12">
      <c r="A521" t="s">
        <v>906</v>
      </c>
      <c r="B521" t="s">
        <v>819</v>
      </c>
      <c r="C521" s="1">
        <v>46268</v>
      </c>
      <c r="D521" t="s">
        <v>100</v>
      </c>
      <c r="E521" t="s">
        <v>28</v>
      </c>
      <c r="F521" t="s">
        <v>16</v>
      </c>
      <c r="G521" t="s">
        <v>17</v>
      </c>
      <c r="H521">
        <v>1</v>
      </c>
      <c r="I521">
        <v>4200</v>
      </c>
      <c r="J521">
        <v>0</v>
      </c>
      <c r="K521">
        <v>4200</v>
      </c>
      <c r="L521" t="s">
        <v>64</v>
      </c>
    </row>
    <row r="522" spans="1:12">
      <c r="A522" t="s">
        <v>907</v>
      </c>
      <c r="B522" t="s">
        <v>461</v>
      </c>
      <c r="C522" s="1">
        <v>46236</v>
      </c>
      <c r="D522" t="s">
        <v>21</v>
      </c>
      <c r="E522" t="s">
        <v>22</v>
      </c>
      <c r="F522" t="s">
        <v>16</v>
      </c>
      <c r="G522" t="s">
        <v>17</v>
      </c>
      <c r="H522">
        <v>1</v>
      </c>
      <c r="I522">
        <v>7600</v>
      </c>
      <c r="J522">
        <v>0.15</v>
      </c>
      <c r="K522">
        <v>6460</v>
      </c>
      <c r="L522" t="s">
        <v>97</v>
      </c>
    </row>
    <row r="523" spans="1:12">
      <c r="A523" t="s">
        <v>908</v>
      </c>
      <c r="B523" t="s">
        <v>90</v>
      </c>
      <c r="C523" s="1">
        <v>46189</v>
      </c>
      <c r="D523" t="s">
        <v>53</v>
      </c>
      <c r="E523" t="s">
        <v>54</v>
      </c>
      <c r="F523" t="s">
        <v>34</v>
      </c>
      <c r="G523" t="s">
        <v>23</v>
      </c>
      <c r="H523">
        <v>4</v>
      </c>
      <c r="I523">
        <v>4500</v>
      </c>
      <c r="J523">
        <v>0.1</v>
      </c>
      <c r="K523">
        <v>16200</v>
      </c>
      <c r="L523" t="s">
        <v>24</v>
      </c>
    </row>
    <row r="524" spans="1:12">
      <c r="A524" t="s">
        <v>909</v>
      </c>
      <c r="B524" t="s">
        <v>910</v>
      </c>
      <c r="C524" s="1">
        <v>46282</v>
      </c>
      <c r="D524" t="s">
        <v>21</v>
      </c>
      <c r="E524" t="s">
        <v>22</v>
      </c>
      <c r="F524" t="s">
        <v>34</v>
      </c>
      <c r="G524" t="s">
        <v>17</v>
      </c>
      <c r="H524">
        <v>1</v>
      </c>
      <c r="I524">
        <v>7600</v>
      </c>
      <c r="J524">
        <v>0.1</v>
      </c>
      <c r="K524">
        <v>6840</v>
      </c>
      <c r="L524" t="s">
        <v>135</v>
      </c>
    </row>
    <row r="525" spans="1:12">
      <c r="A525" t="s">
        <v>911</v>
      </c>
      <c r="B525" t="s">
        <v>496</v>
      </c>
      <c r="C525" s="1">
        <v>46231</v>
      </c>
      <c r="D525" t="s">
        <v>115</v>
      </c>
      <c r="E525" t="s">
        <v>54</v>
      </c>
      <c r="F525" t="s">
        <v>34</v>
      </c>
      <c r="G525" t="s">
        <v>29</v>
      </c>
      <c r="H525">
        <v>2</v>
      </c>
      <c r="I525">
        <v>6800</v>
      </c>
      <c r="J525">
        <v>0.05</v>
      </c>
      <c r="K525">
        <v>12920</v>
      </c>
      <c r="L525" t="s">
        <v>38</v>
      </c>
    </row>
    <row r="526" spans="1:12">
      <c r="A526" t="s">
        <v>912</v>
      </c>
      <c r="B526" t="s">
        <v>913</v>
      </c>
      <c r="C526" s="1">
        <v>46282</v>
      </c>
      <c r="D526" t="s">
        <v>389</v>
      </c>
      <c r="E526" t="s">
        <v>47</v>
      </c>
      <c r="F526" t="s">
        <v>16</v>
      </c>
      <c r="G526" t="s">
        <v>29</v>
      </c>
      <c r="H526">
        <v>2</v>
      </c>
      <c r="I526">
        <v>7400</v>
      </c>
      <c r="J526">
        <v>0</v>
      </c>
      <c r="K526">
        <v>14800</v>
      </c>
      <c r="L526" t="s">
        <v>35</v>
      </c>
    </row>
    <row r="527" spans="1:12">
      <c r="A527" t="s">
        <v>914</v>
      </c>
      <c r="B527" t="s">
        <v>619</v>
      </c>
      <c r="C527" s="1">
        <v>46138</v>
      </c>
      <c r="D527" t="s">
        <v>33</v>
      </c>
      <c r="E527" t="s">
        <v>28</v>
      </c>
      <c r="F527" t="s">
        <v>16</v>
      </c>
      <c r="G527" t="s">
        <v>23</v>
      </c>
      <c r="H527">
        <v>1</v>
      </c>
      <c r="I527">
        <v>8500</v>
      </c>
      <c r="J527">
        <v>0.1</v>
      </c>
      <c r="K527">
        <v>7650</v>
      </c>
      <c r="L527" t="s">
        <v>123</v>
      </c>
    </row>
    <row r="528" spans="1:12">
      <c r="A528" t="s">
        <v>915</v>
      </c>
      <c r="B528" t="s">
        <v>701</v>
      </c>
      <c r="C528" s="1">
        <v>46117</v>
      </c>
      <c r="D528" t="s">
        <v>57</v>
      </c>
      <c r="E528" t="s">
        <v>54</v>
      </c>
      <c r="F528" t="s">
        <v>34</v>
      </c>
      <c r="G528" t="s">
        <v>17</v>
      </c>
      <c r="H528">
        <v>2</v>
      </c>
      <c r="I528">
        <v>2400</v>
      </c>
      <c r="J528">
        <v>0.1</v>
      </c>
      <c r="K528">
        <v>4320</v>
      </c>
      <c r="L528" t="s">
        <v>24</v>
      </c>
    </row>
    <row r="529" spans="1:12">
      <c r="A529" t="s">
        <v>916</v>
      </c>
      <c r="B529" t="s">
        <v>134</v>
      </c>
      <c r="C529" s="1">
        <v>46216</v>
      </c>
      <c r="D529" t="s">
        <v>96</v>
      </c>
      <c r="E529" t="s">
        <v>22</v>
      </c>
      <c r="F529" t="s">
        <v>34</v>
      </c>
      <c r="G529" t="s">
        <v>17</v>
      </c>
      <c r="H529">
        <v>1</v>
      </c>
      <c r="I529">
        <v>3200</v>
      </c>
      <c r="J529">
        <v>0.1</v>
      </c>
      <c r="K529">
        <v>2880</v>
      </c>
      <c r="L529" t="s">
        <v>64</v>
      </c>
    </row>
    <row r="530" spans="1:12">
      <c r="A530" t="s">
        <v>917</v>
      </c>
      <c r="B530" t="s">
        <v>714</v>
      </c>
      <c r="C530" s="1">
        <v>46098</v>
      </c>
      <c r="D530" t="s">
        <v>41</v>
      </c>
      <c r="E530" t="s">
        <v>15</v>
      </c>
      <c r="F530" t="s">
        <v>16</v>
      </c>
      <c r="G530" t="s">
        <v>17</v>
      </c>
      <c r="H530">
        <v>1</v>
      </c>
      <c r="I530">
        <v>5400</v>
      </c>
      <c r="J530">
        <v>0.05</v>
      </c>
      <c r="K530">
        <v>5130</v>
      </c>
      <c r="L530" t="s">
        <v>18</v>
      </c>
    </row>
    <row r="531" spans="1:12">
      <c r="A531" t="s">
        <v>918</v>
      </c>
      <c r="B531" t="s">
        <v>770</v>
      </c>
      <c r="C531" s="1">
        <v>46263</v>
      </c>
      <c r="D531" t="s">
        <v>27</v>
      </c>
      <c r="E531" t="s">
        <v>28</v>
      </c>
      <c r="F531" t="s">
        <v>16</v>
      </c>
      <c r="G531" t="s">
        <v>17</v>
      </c>
      <c r="H531">
        <v>1</v>
      </c>
      <c r="I531">
        <v>3500</v>
      </c>
      <c r="J531">
        <v>0.05</v>
      </c>
      <c r="K531">
        <v>3325</v>
      </c>
      <c r="L531" t="s">
        <v>123</v>
      </c>
    </row>
    <row r="532" spans="1:12">
      <c r="A532" t="s">
        <v>919</v>
      </c>
      <c r="B532" t="s">
        <v>607</v>
      </c>
      <c r="C532" s="1">
        <v>46239</v>
      </c>
      <c r="D532" t="s">
        <v>389</v>
      </c>
      <c r="E532" t="s">
        <v>47</v>
      </c>
      <c r="F532" t="s">
        <v>16</v>
      </c>
      <c r="G532" t="s">
        <v>23</v>
      </c>
      <c r="H532">
        <v>3</v>
      </c>
      <c r="I532">
        <v>7400</v>
      </c>
      <c r="J532">
        <v>0.1</v>
      </c>
      <c r="K532">
        <v>19980</v>
      </c>
      <c r="L532" t="s">
        <v>142</v>
      </c>
    </row>
    <row r="533" spans="1:12">
      <c r="A533" t="s">
        <v>920</v>
      </c>
      <c r="B533" t="s">
        <v>921</v>
      </c>
      <c r="C533" s="1">
        <v>46094</v>
      </c>
      <c r="D533" t="s">
        <v>130</v>
      </c>
      <c r="E533" t="s">
        <v>22</v>
      </c>
      <c r="F533" t="s">
        <v>34</v>
      </c>
      <c r="G533" t="s">
        <v>29</v>
      </c>
      <c r="H533">
        <v>1</v>
      </c>
      <c r="I533">
        <v>5900</v>
      </c>
      <c r="J533">
        <v>0.2</v>
      </c>
      <c r="K533">
        <v>4720</v>
      </c>
      <c r="L533" t="s">
        <v>35</v>
      </c>
    </row>
    <row r="534" spans="1:12">
      <c r="A534" t="s">
        <v>922</v>
      </c>
      <c r="B534" t="s">
        <v>827</v>
      </c>
      <c r="C534" s="1">
        <v>46052</v>
      </c>
      <c r="D534" t="s">
        <v>53</v>
      </c>
      <c r="E534" t="s">
        <v>54</v>
      </c>
      <c r="F534" t="s">
        <v>34</v>
      </c>
      <c r="G534" t="s">
        <v>17</v>
      </c>
      <c r="H534">
        <v>2</v>
      </c>
      <c r="I534">
        <v>4500</v>
      </c>
      <c r="J534">
        <v>0</v>
      </c>
      <c r="K534">
        <v>9000</v>
      </c>
      <c r="L534" t="s">
        <v>113</v>
      </c>
    </row>
    <row r="535" spans="1:12">
      <c r="A535" t="s">
        <v>923</v>
      </c>
      <c r="B535" t="s">
        <v>283</v>
      </c>
      <c r="C535" s="1">
        <v>46295</v>
      </c>
      <c r="D535" t="s">
        <v>389</v>
      </c>
      <c r="E535" t="s">
        <v>47</v>
      </c>
      <c r="F535" t="s">
        <v>16</v>
      </c>
      <c r="G535" t="s">
        <v>17</v>
      </c>
      <c r="H535">
        <v>1</v>
      </c>
      <c r="I535">
        <v>7400</v>
      </c>
      <c r="J535">
        <v>0.05</v>
      </c>
      <c r="K535">
        <v>7030</v>
      </c>
      <c r="L535" t="s">
        <v>35</v>
      </c>
    </row>
    <row r="536" spans="1:12">
      <c r="A536" t="s">
        <v>924</v>
      </c>
      <c r="B536" t="s">
        <v>370</v>
      </c>
      <c r="C536" s="1">
        <v>46180</v>
      </c>
      <c r="D536" t="s">
        <v>41</v>
      </c>
      <c r="E536" t="s">
        <v>15</v>
      </c>
      <c r="F536" t="s">
        <v>16</v>
      </c>
      <c r="G536" t="s">
        <v>29</v>
      </c>
      <c r="H536">
        <v>1</v>
      </c>
      <c r="I536">
        <v>5400</v>
      </c>
      <c r="J536">
        <v>0</v>
      </c>
      <c r="K536">
        <v>5400</v>
      </c>
      <c r="L536" t="s">
        <v>142</v>
      </c>
    </row>
    <row r="537" spans="1:12">
      <c r="A537" t="s">
        <v>925</v>
      </c>
      <c r="B537" t="s">
        <v>352</v>
      </c>
      <c r="C537" s="1">
        <v>46125</v>
      </c>
      <c r="D537" t="s">
        <v>14</v>
      </c>
      <c r="E537" t="s">
        <v>15</v>
      </c>
      <c r="F537" t="s">
        <v>16</v>
      </c>
      <c r="G537" t="s">
        <v>17</v>
      </c>
      <c r="H537">
        <v>4</v>
      </c>
      <c r="I537">
        <v>7600</v>
      </c>
      <c r="J537">
        <v>0.1</v>
      </c>
      <c r="K537">
        <v>27360</v>
      </c>
      <c r="L537" t="s">
        <v>30</v>
      </c>
    </row>
    <row r="538" spans="1:12">
      <c r="A538" t="s">
        <v>926</v>
      </c>
      <c r="B538" t="s">
        <v>927</v>
      </c>
      <c r="C538" s="1">
        <v>46071</v>
      </c>
      <c r="D538" t="s">
        <v>130</v>
      </c>
      <c r="E538" t="s">
        <v>22</v>
      </c>
      <c r="F538" t="s">
        <v>34</v>
      </c>
      <c r="G538" t="s">
        <v>23</v>
      </c>
      <c r="H538">
        <v>1</v>
      </c>
      <c r="I538">
        <v>5900</v>
      </c>
      <c r="J538">
        <v>0.2</v>
      </c>
      <c r="K538">
        <v>4720</v>
      </c>
      <c r="L538" t="s">
        <v>18</v>
      </c>
    </row>
    <row r="539" spans="1:12">
      <c r="A539" t="s">
        <v>928</v>
      </c>
      <c r="B539" t="s">
        <v>730</v>
      </c>
      <c r="C539" s="1">
        <v>46030</v>
      </c>
      <c r="D539" t="s">
        <v>60</v>
      </c>
      <c r="E539" t="s">
        <v>28</v>
      </c>
      <c r="F539" t="s">
        <v>34</v>
      </c>
      <c r="G539" t="s">
        <v>29</v>
      </c>
      <c r="H539">
        <v>2</v>
      </c>
      <c r="I539">
        <v>12800</v>
      </c>
      <c r="J539">
        <v>0.05</v>
      </c>
      <c r="K539">
        <v>24320</v>
      </c>
      <c r="L539" t="s">
        <v>97</v>
      </c>
    </row>
    <row r="540" spans="1:12">
      <c r="A540" t="s">
        <v>929</v>
      </c>
      <c r="B540" t="s">
        <v>629</v>
      </c>
      <c r="C540" s="1">
        <v>46250</v>
      </c>
      <c r="D540" t="s">
        <v>67</v>
      </c>
      <c r="E540" t="s">
        <v>54</v>
      </c>
      <c r="F540" t="s">
        <v>34</v>
      </c>
      <c r="G540" t="s">
        <v>17</v>
      </c>
      <c r="H540">
        <v>3</v>
      </c>
      <c r="I540">
        <v>2800</v>
      </c>
      <c r="J540">
        <v>0.2</v>
      </c>
      <c r="K540">
        <v>6720</v>
      </c>
      <c r="L540" t="s">
        <v>64</v>
      </c>
    </row>
    <row r="541" spans="1:12">
      <c r="A541" t="s">
        <v>930</v>
      </c>
      <c r="B541" t="s">
        <v>247</v>
      </c>
      <c r="C541" s="1">
        <v>46029</v>
      </c>
      <c r="D541" t="s">
        <v>53</v>
      </c>
      <c r="E541" t="s">
        <v>54</v>
      </c>
      <c r="F541" t="s">
        <v>16</v>
      </c>
      <c r="G541" t="s">
        <v>17</v>
      </c>
      <c r="H541">
        <v>1</v>
      </c>
      <c r="I541">
        <v>4500</v>
      </c>
      <c r="J541">
        <v>0</v>
      </c>
      <c r="K541">
        <v>4500</v>
      </c>
      <c r="L541" t="s">
        <v>123</v>
      </c>
    </row>
    <row r="542" spans="1:12">
      <c r="A542" t="s">
        <v>931</v>
      </c>
      <c r="B542" t="s">
        <v>932</v>
      </c>
      <c r="C542" s="1">
        <v>46285</v>
      </c>
      <c r="D542" t="s">
        <v>103</v>
      </c>
      <c r="E542" t="s">
        <v>47</v>
      </c>
      <c r="F542" t="s">
        <v>16</v>
      </c>
      <c r="G542" t="s">
        <v>17</v>
      </c>
      <c r="H542">
        <v>1</v>
      </c>
      <c r="I542">
        <v>3800</v>
      </c>
      <c r="J542">
        <v>0.1</v>
      </c>
      <c r="K542">
        <v>3420</v>
      </c>
      <c r="L542" t="s">
        <v>97</v>
      </c>
    </row>
    <row r="543" spans="1:12">
      <c r="A543" t="s">
        <v>933</v>
      </c>
      <c r="B543" t="s">
        <v>619</v>
      </c>
      <c r="C543" s="1">
        <v>46197</v>
      </c>
      <c r="D543" t="s">
        <v>96</v>
      </c>
      <c r="E543" t="s">
        <v>22</v>
      </c>
      <c r="F543" t="s">
        <v>16</v>
      </c>
      <c r="G543" t="s">
        <v>17</v>
      </c>
      <c r="H543">
        <v>2</v>
      </c>
      <c r="I543">
        <v>3200</v>
      </c>
      <c r="J543">
        <v>0.05</v>
      </c>
      <c r="K543">
        <v>6080</v>
      </c>
      <c r="L543" t="s">
        <v>38</v>
      </c>
    </row>
    <row r="544" spans="1:12">
      <c r="A544" t="s">
        <v>934</v>
      </c>
      <c r="B544" t="s">
        <v>831</v>
      </c>
      <c r="C544" s="1">
        <v>46289</v>
      </c>
      <c r="D544" t="s">
        <v>21</v>
      </c>
      <c r="E544" t="s">
        <v>22</v>
      </c>
      <c r="F544" t="s">
        <v>16</v>
      </c>
      <c r="G544" t="s">
        <v>17</v>
      </c>
      <c r="H544">
        <v>1</v>
      </c>
      <c r="I544">
        <v>7600</v>
      </c>
      <c r="J544">
        <v>0</v>
      </c>
      <c r="K544">
        <v>7600</v>
      </c>
      <c r="L544" t="s">
        <v>61</v>
      </c>
    </row>
    <row r="545" spans="1:12">
      <c r="A545" t="s">
        <v>935</v>
      </c>
      <c r="B545" t="s">
        <v>936</v>
      </c>
      <c r="C545" s="1">
        <v>46217</v>
      </c>
      <c r="D545" t="s">
        <v>183</v>
      </c>
      <c r="E545" t="s">
        <v>15</v>
      </c>
      <c r="F545" t="s">
        <v>16</v>
      </c>
      <c r="G545" t="s">
        <v>29</v>
      </c>
      <c r="H545">
        <v>2</v>
      </c>
      <c r="I545">
        <v>9800</v>
      </c>
      <c r="J545">
        <v>0.05</v>
      </c>
      <c r="K545">
        <v>18620</v>
      </c>
      <c r="L545" t="s">
        <v>30</v>
      </c>
    </row>
    <row r="546" spans="1:12">
      <c r="A546" t="s">
        <v>937</v>
      </c>
      <c r="B546" t="s">
        <v>164</v>
      </c>
      <c r="C546" s="1">
        <v>46060</v>
      </c>
      <c r="D546" t="s">
        <v>112</v>
      </c>
      <c r="E546" t="s">
        <v>15</v>
      </c>
      <c r="F546" t="s">
        <v>16</v>
      </c>
      <c r="G546" t="s">
        <v>29</v>
      </c>
      <c r="H546">
        <v>3</v>
      </c>
      <c r="I546">
        <v>3200</v>
      </c>
      <c r="J546">
        <v>0.2</v>
      </c>
      <c r="K546">
        <v>7680</v>
      </c>
      <c r="L546" t="s">
        <v>142</v>
      </c>
    </row>
    <row r="547" spans="1:12">
      <c r="A547" t="s">
        <v>938</v>
      </c>
      <c r="B547" t="s">
        <v>910</v>
      </c>
      <c r="C547" s="1">
        <v>46066</v>
      </c>
      <c r="D547" t="s">
        <v>88</v>
      </c>
      <c r="E547" t="s">
        <v>15</v>
      </c>
      <c r="F547" t="s">
        <v>34</v>
      </c>
      <c r="G547" t="s">
        <v>17</v>
      </c>
      <c r="H547">
        <v>1</v>
      </c>
      <c r="I547">
        <v>4800</v>
      </c>
      <c r="J547">
        <v>0</v>
      </c>
      <c r="K547">
        <v>4800</v>
      </c>
      <c r="L547" t="s">
        <v>18</v>
      </c>
    </row>
    <row r="548" spans="1:12">
      <c r="A548" t="s">
        <v>939</v>
      </c>
      <c r="B548" t="s">
        <v>522</v>
      </c>
      <c r="C548" s="1">
        <v>46161</v>
      </c>
      <c r="D548" t="s">
        <v>77</v>
      </c>
      <c r="E548" t="s">
        <v>54</v>
      </c>
      <c r="F548" t="s">
        <v>16</v>
      </c>
      <c r="G548" t="s">
        <v>17</v>
      </c>
      <c r="H548">
        <v>1</v>
      </c>
      <c r="I548">
        <v>7200</v>
      </c>
      <c r="J548">
        <v>0</v>
      </c>
      <c r="K548">
        <v>7200</v>
      </c>
      <c r="L548" t="s">
        <v>85</v>
      </c>
    </row>
    <row r="549" spans="1:12">
      <c r="A549" t="s">
        <v>940</v>
      </c>
      <c r="B549" t="s">
        <v>372</v>
      </c>
      <c r="C549" s="1">
        <v>46079</v>
      </c>
      <c r="D549" t="s">
        <v>57</v>
      </c>
      <c r="E549" t="s">
        <v>54</v>
      </c>
      <c r="F549" t="s">
        <v>16</v>
      </c>
      <c r="G549" t="s">
        <v>17</v>
      </c>
      <c r="H549">
        <v>1</v>
      </c>
      <c r="I549">
        <v>2400</v>
      </c>
      <c r="J549">
        <v>0.05</v>
      </c>
      <c r="K549">
        <v>2280</v>
      </c>
      <c r="L549" t="s">
        <v>18</v>
      </c>
    </row>
    <row r="550" spans="1:12">
      <c r="A550" t="s">
        <v>941</v>
      </c>
      <c r="B550" t="s">
        <v>37</v>
      </c>
      <c r="C550" s="1">
        <v>46132</v>
      </c>
      <c r="D550" t="s">
        <v>88</v>
      </c>
      <c r="E550" t="s">
        <v>15</v>
      </c>
      <c r="F550" t="s">
        <v>34</v>
      </c>
      <c r="G550" t="s">
        <v>29</v>
      </c>
      <c r="H550">
        <v>2</v>
      </c>
      <c r="I550">
        <v>4800</v>
      </c>
      <c r="J550">
        <v>0.1</v>
      </c>
      <c r="K550">
        <v>8640</v>
      </c>
      <c r="L550" t="s">
        <v>135</v>
      </c>
    </row>
    <row r="551" spans="1:12">
      <c r="A551" t="s">
        <v>942</v>
      </c>
      <c r="B551" t="s">
        <v>943</v>
      </c>
      <c r="C551" s="1">
        <v>46054</v>
      </c>
      <c r="D551" t="s">
        <v>50</v>
      </c>
      <c r="E551" t="s">
        <v>28</v>
      </c>
      <c r="F551" t="s">
        <v>16</v>
      </c>
      <c r="G551" t="s">
        <v>17</v>
      </c>
      <c r="H551">
        <v>2</v>
      </c>
      <c r="I551">
        <v>6200</v>
      </c>
      <c r="J551">
        <v>0.05</v>
      </c>
      <c r="K551">
        <v>11780</v>
      </c>
      <c r="L551" t="s">
        <v>113</v>
      </c>
    </row>
    <row r="552" spans="1:12">
      <c r="A552" t="s">
        <v>944</v>
      </c>
      <c r="B552" t="s">
        <v>945</v>
      </c>
      <c r="C552" s="1">
        <v>46042</v>
      </c>
      <c r="D552" t="s">
        <v>100</v>
      </c>
      <c r="E552" t="s">
        <v>28</v>
      </c>
      <c r="F552" t="s">
        <v>34</v>
      </c>
      <c r="G552" t="s">
        <v>17</v>
      </c>
      <c r="H552">
        <v>2</v>
      </c>
      <c r="I552">
        <v>4200</v>
      </c>
      <c r="J552">
        <v>0.05</v>
      </c>
      <c r="K552">
        <v>7980</v>
      </c>
      <c r="L552" t="s">
        <v>35</v>
      </c>
    </row>
    <row r="553" spans="1:12">
      <c r="A553" t="s">
        <v>946</v>
      </c>
      <c r="B553" t="s">
        <v>686</v>
      </c>
      <c r="C553" s="1">
        <v>46023</v>
      </c>
      <c r="D553" t="s">
        <v>118</v>
      </c>
      <c r="E553" t="s">
        <v>47</v>
      </c>
      <c r="F553" t="s">
        <v>16</v>
      </c>
      <c r="G553" t="s">
        <v>29</v>
      </c>
      <c r="H553">
        <v>1</v>
      </c>
      <c r="I553">
        <v>4100</v>
      </c>
      <c r="J553">
        <v>0.05</v>
      </c>
      <c r="K553">
        <v>3895</v>
      </c>
      <c r="L553" t="s">
        <v>142</v>
      </c>
    </row>
    <row r="554" spans="1:12">
      <c r="A554" t="s">
        <v>947</v>
      </c>
      <c r="B554" t="s">
        <v>948</v>
      </c>
      <c r="C554" s="1">
        <v>46150</v>
      </c>
      <c r="D554" t="s">
        <v>91</v>
      </c>
      <c r="E554" t="s">
        <v>22</v>
      </c>
      <c r="F554" t="s">
        <v>34</v>
      </c>
      <c r="G554" t="s">
        <v>23</v>
      </c>
      <c r="H554">
        <v>1</v>
      </c>
      <c r="I554">
        <v>11500</v>
      </c>
      <c r="J554">
        <v>0.05</v>
      </c>
      <c r="K554">
        <v>10925</v>
      </c>
      <c r="L554" t="s">
        <v>135</v>
      </c>
    </row>
    <row r="555" spans="1:12">
      <c r="A555" t="s">
        <v>949</v>
      </c>
      <c r="B555" t="s">
        <v>617</v>
      </c>
      <c r="C555" s="1">
        <v>46260</v>
      </c>
      <c r="D555" t="s">
        <v>46</v>
      </c>
      <c r="E555" t="s">
        <v>47</v>
      </c>
      <c r="F555" t="s">
        <v>16</v>
      </c>
      <c r="G555" t="s">
        <v>17</v>
      </c>
      <c r="H555">
        <v>3</v>
      </c>
      <c r="I555">
        <v>9200</v>
      </c>
      <c r="J555">
        <v>0</v>
      </c>
      <c r="K555">
        <v>27600</v>
      </c>
      <c r="L555" t="s">
        <v>24</v>
      </c>
    </row>
    <row r="556" spans="1:12">
      <c r="A556" t="s">
        <v>950</v>
      </c>
      <c r="B556" t="s">
        <v>951</v>
      </c>
      <c r="C556" s="1">
        <v>46087</v>
      </c>
      <c r="D556" t="s">
        <v>389</v>
      </c>
      <c r="E556" t="s">
        <v>47</v>
      </c>
      <c r="F556" t="s">
        <v>16</v>
      </c>
      <c r="G556" t="s">
        <v>17</v>
      </c>
      <c r="H556">
        <v>1</v>
      </c>
      <c r="I556">
        <v>7400</v>
      </c>
      <c r="J556">
        <v>0.05</v>
      </c>
      <c r="K556">
        <v>7030</v>
      </c>
      <c r="L556" t="s">
        <v>123</v>
      </c>
    </row>
    <row r="557" spans="1:12">
      <c r="A557" t="s">
        <v>952</v>
      </c>
      <c r="B557" t="s">
        <v>352</v>
      </c>
      <c r="C557" s="1">
        <v>46071</v>
      </c>
      <c r="D557" t="s">
        <v>53</v>
      </c>
      <c r="E557" t="s">
        <v>54</v>
      </c>
      <c r="F557" t="s">
        <v>16</v>
      </c>
      <c r="G557" t="s">
        <v>29</v>
      </c>
      <c r="H557">
        <v>1</v>
      </c>
      <c r="I557">
        <v>4500</v>
      </c>
      <c r="J557">
        <v>0.05</v>
      </c>
      <c r="K557">
        <v>4275</v>
      </c>
      <c r="L557" t="s">
        <v>30</v>
      </c>
    </row>
    <row r="558" spans="1:12">
      <c r="A558" t="s">
        <v>953</v>
      </c>
      <c r="B558" t="s">
        <v>681</v>
      </c>
      <c r="C558" s="1">
        <v>46276</v>
      </c>
      <c r="D558" t="s">
        <v>41</v>
      </c>
      <c r="E558" t="s">
        <v>15</v>
      </c>
      <c r="F558" t="s">
        <v>34</v>
      </c>
      <c r="G558" t="s">
        <v>29</v>
      </c>
      <c r="H558">
        <v>1</v>
      </c>
      <c r="I558">
        <v>5400</v>
      </c>
      <c r="J558">
        <v>0.1</v>
      </c>
      <c r="K558">
        <v>4860</v>
      </c>
      <c r="L558" t="s">
        <v>72</v>
      </c>
    </row>
    <row r="559" spans="1:12">
      <c r="A559" t="s">
        <v>954</v>
      </c>
      <c r="B559" t="s">
        <v>344</v>
      </c>
      <c r="C559" s="1">
        <v>46060</v>
      </c>
      <c r="D559" t="s">
        <v>60</v>
      </c>
      <c r="E559" t="s">
        <v>28</v>
      </c>
      <c r="F559" t="s">
        <v>16</v>
      </c>
      <c r="G559" t="s">
        <v>29</v>
      </c>
      <c r="H559">
        <v>2</v>
      </c>
      <c r="I559">
        <v>12800</v>
      </c>
      <c r="J559">
        <v>0</v>
      </c>
      <c r="K559">
        <v>25600</v>
      </c>
      <c r="L559" t="s">
        <v>35</v>
      </c>
    </row>
    <row r="560" spans="1:12">
      <c r="A560" t="s">
        <v>955</v>
      </c>
      <c r="B560" t="s">
        <v>409</v>
      </c>
      <c r="C560" s="1">
        <v>46269</v>
      </c>
      <c r="D560" t="s">
        <v>71</v>
      </c>
      <c r="E560" t="s">
        <v>47</v>
      </c>
      <c r="F560" t="s">
        <v>16</v>
      </c>
      <c r="G560" t="s">
        <v>23</v>
      </c>
      <c r="H560">
        <v>1</v>
      </c>
      <c r="I560">
        <v>5600</v>
      </c>
      <c r="J560">
        <v>0.2</v>
      </c>
      <c r="K560">
        <v>4480</v>
      </c>
      <c r="L560" t="s">
        <v>38</v>
      </c>
    </row>
    <row r="561" spans="1:12">
      <c r="A561" t="s">
        <v>956</v>
      </c>
      <c r="B561" t="s">
        <v>957</v>
      </c>
      <c r="C561" s="1">
        <v>46051</v>
      </c>
      <c r="D561" t="s">
        <v>27</v>
      </c>
      <c r="E561" t="s">
        <v>28</v>
      </c>
      <c r="F561" t="s">
        <v>16</v>
      </c>
      <c r="G561" t="s">
        <v>17</v>
      </c>
      <c r="H561">
        <v>4</v>
      </c>
      <c r="I561">
        <v>3500</v>
      </c>
      <c r="J561">
        <v>0</v>
      </c>
      <c r="K561">
        <v>14000</v>
      </c>
      <c r="L561" t="s">
        <v>61</v>
      </c>
    </row>
    <row r="562" spans="1:12">
      <c r="A562" t="s">
        <v>958</v>
      </c>
      <c r="B562" t="s">
        <v>32</v>
      </c>
      <c r="C562" s="1">
        <v>46133</v>
      </c>
      <c r="D562" t="s">
        <v>50</v>
      </c>
      <c r="E562" t="s">
        <v>28</v>
      </c>
      <c r="F562" t="s">
        <v>34</v>
      </c>
      <c r="G562" t="s">
        <v>29</v>
      </c>
      <c r="H562">
        <v>3</v>
      </c>
      <c r="I562">
        <v>6200</v>
      </c>
      <c r="J562">
        <v>0.1</v>
      </c>
      <c r="K562">
        <v>16740</v>
      </c>
      <c r="L562" t="s">
        <v>35</v>
      </c>
    </row>
    <row r="563" spans="1:12">
      <c r="A563" t="s">
        <v>959</v>
      </c>
      <c r="B563" t="s">
        <v>650</v>
      </c>
      <c r="C563" s="1">
        <v>46245</v>
      </c>
      <c r="D563" t="s">
        <v>33</v>
      </c>
      <c r="E563" t="s">
        <v>28</v>
      </c>
      <c r="F563" t="s">
        <v>34</v>
      </c>
      <c r="G563" t="s">
        <v>17</v>
      </c>
      <c r="H563">
        <v>3</v>
      </c>
      <c r="I563">
        <v>8500</v>
      </c>
      <c r="J563">
        <v>0.15</v>
      </c>
      <c r="K563">
        <v>21675</v>
      </c>
      <c r="L563" t="s">
        <v>68</v>
      </c>
    </row>
    <row r="564" spans="1:12">
      <c r="A564" t="s">
        <v>960</v>
      </c>
      <c r="B564" t="s">
        <v>171</v>
      </c>
      <c r="C564" s="1">
        <v>46193</v>
      </c>
      <c r="D564" t="s">
        <v>21</v>
      </c>
      <c r="E564" t="s">
        <v>22</v>
      </c>
      <c r="F564" t="s">
        <v>16</v>
      </c>
      <c r="G564" t="s">
        <v>17</v>
      </c>
      <c r="H564">
        <v>3</v>
      </c>
      <c r="I564">
        <v>7600</v>
      </c>
      <c r="J564">
        <v>0.05</v>
      </c>
      <c r="K564">
        <v>21660</v>
      </c>
      <c r="L564" t="s">
        <v>30</v>
      </c>
    </row>
    <row r="565" spans="1:12">
      <c r="A565" t="s">
        <v>961</v>
      </c>
      <c r="B565" t="s">
        <v>962</v>
      </c>
      <c r="C565" s="1">
        <v>46148</v>
      </c>
      <c r="D565" t="s">
        <v>84</v>
      </c>
      <c r="E565" t="s">
        <v>22</v>
      </c>
      <c r="F565" t="s">
        <v>34</v>
      </c>
      <c r="G565" t="s">
        <v>29</v>
      </c>
      <c r="H565">
        <v>1</v>
      </c>
      <c r="I565">
        <v>8900</v>
      </c>
      <c r="J565">
        <v>0.15</v>
      </c>
      <c r="K565">
        <v>7565</v>
      </c>
      <c r="L565" t="s">
        <v>38</v>
      </c>
    </row>
    <row r="566" spans="1:12">
      <c r="A566" t="s">
        <v>963</v>
      </c>
      <c r="B566" t="s">
        <v>318</v>
      </c>
      <c r="C566" s="1">
        <v>46087</v>
      </c>
      <c r="D566" t="s">
        <v>41</v>
      </c>
      <c r="E566" t="s">
        <v>15</v>
      </c>
      <c r="F566" t="s">
        <v>16</v>
      </c>
      <c r="G566" t="s">
        <v>29</v>
      </c>
      <c r="H566">
        <v>1</v>
      </c>
      <c r="I566">
        <v>5400</v>
      </c>
      <c r="J566">
        <v>0.05</v>
      </c>
      <c r="K566">
        <v>5130</v>
      </c>
      <c r="L566" t="s">
        <v>68</v>
      </c>
    </row>
    <row r="567" spans="1:12">
      <c r="A567" t="s">
        <v>964</v>
      </c>
      <c r="B567" t="s">
        <v>424</v>
      </c>
      <c r="C567" s="1">
        <v>46088</v>
      </c>
      <c r="D567" t="s">
        <v>21</v>
      </c>
      <c r="E567" t="s">
        <v>22</v>
      </c>
      <c r="F567" t="s">
        <v>16</v>
      </c>
      <c r="G567" t="s">
        <v>29</v>
      </c>
      <c r="H567">
        <v>4</v>
      </c>
      <c r="I567">
        <v>7600</v>
      </c>
      <c r="J567">
        <v>0</v>
      </c>
      <c r="K567">
        <v>30400</v>
      </c>
      <c r="L567" t="s">
        <v>35</v>
      </c>
    </row>
    <row r="568" spans="1:12">
      <c r="A568" t="s">
        <v>965</v>
      </c>
      <c r="B568" t="s">
        <v>966</v>
      </c>
      <c r="C568" s="1">
        <v>46040</v>
      </c>
      <c r="D568" t="s">
        <v>77</v>
      </c>
      <c r="E568" t="s">
        <v>54</v>
      </c>
      <c r="F568" t="s">
        <v>34</v>
      </c>
      <c r="G568" t="s">
        <v>29</v>
      </c>
      <c r="H568">
        <v>1</v>
      </c>
      <c r="I568">
        <v>7200</v>
      </c>
      <c r="J568">
        <v>0.05</v>
      </c>
      <c r="K568">
        <v>6840</v>
      </c>
      <c r="L568" t="s">
        <v>68</v>
      </c>
    </row>
    <row r="569" spans="1:12">
      <c r="A569" t="s">
        <v>967</v>
      </c>
      <c r="B569" t="s">
        <v>968</v>
      </c>
      <c r="C569" s="1">
        <v>46206</v>
      </c>
      <c r="D569" t="s">
        <v>57</v>
      </c>
      <c r="E569" t="s">
        <v>54</v>
      </c>
      <c r="F569" t="s">
        <v>16</v>
      </c>
      <c r="G569" t="s">
        <v>17</v>
      </c>
      <c r="H569">
        <v>1</v>
      </c>
      <c r="I569">
        <v>2400</v>
      </c>
      <c r="J569">
        <v>0.1</v>
      </c>
      <c r="K569">
        <v>2160</v>
      </c>
      <c r="L569" t="s">
        <v>64</v>
      </c>
    </row>
    <row r="570" spans="1:12">
      <c r="A570" t="s">
        <v>969</v>
      </c>
      <c r="B570" t="s">
        <v>607</v>
      </c>
      <c r="C570" s="1">
        <v>46234</v>
      </c>
      <c r="D570" t="s">
        <v>115</v>
      </c>
      <c r="E570" t="s">
        <v>54</v>
      </c>
      <c r="F570" t="s">
        <v>16</v>
      </c>
      <c r="G570" t="s">
        <v>23</v>
      </c>
      <c r="H570">
        <v>3</v>
      </c>
      <c r="I570">
        <v>6800</v>
      </c>
      <c r="J570">
        <v>0</v>
      </c>
      <c r="K570">
        <v>20400</v>
      </c>
      <c r="L570" t="s">
        <v>85</v>
      </c>
    </row>
    <row r="571" spans="1:12">
      <c r="A571" t="s">
        <v>970</v>
      </c>
      <c r="B571" t="s">
        <v>709</v>
      </c>
      <c r="C571" s="1">
        <v>46101</v>
      </c>
      <c r="D571" t="s">
        <v>46</v>
      </c>
      <c r="E571" t="s">
        <v>47</v>
      </c>
      <c r="F571" t="s">
        <v>16</v>
      </c>
      <c r="G571" t="s">
        <v>29</v>
      </c>
      <c r="H571">
        <v>2</v>
      </c>
      <c r="I571">
        <v>9200</v>
      </c>
      <c r="J571">
        <v>0.2</v>
      </c>
      <c r="K571">
        <v>14720</v>
      </c>
      <c r="L571" t="s">
        <v>24</v>
      </c>
    </row>
    <row r="572" spans="1:12">
      <c r="A572" t="s">
        <v>971</v>
      </c>
      <c r="B572" t="s">
        <v>972</v>
      </c>
      <c r="C572" s="1">
        <v>46064</v>
      </c>
      <c r="D572" t="s">
        <v>46</v>
      </c>
      <c r="E572" t="s">
        <v>47</v>
      </c>
      <c r="F572" t="s">
        <v>16</v>
      </c>
      <c r="G572" t="s">
        <v>23</v>
      </c>
      <c r="H572">
        <v>1</v>
      </c>
      <c r="I572">
        <v>9200</v>
      </c>
      <c r="J572">
        <v>0</v>
      </c>
      <c r="K572">
        <v>9200</v>
      </c>
      <c r="L572" t="s">
        <v>38</v>
      </c>
    </row>
    <row r="573" spans="1:12">
      <c r="A573" t="s">
        <v>973</v>
      </c>
      <c r="B573" t="s">
        <v>727</v>
      </c>
      <c r="C573" s="1">
        <v>46105</v>
      </c>
      <c r="D573" t="s">
        <v>50</v>
      </c>
      <c r="E573" t="s">
        <v>28</v>
      </c>
      <c r="F573" t="s">
        <v>34</v>
      </c>
      <c r="G573" t="s">
        <v>17</v>
      </c>
      <c r="H573">
        <v>2</v>
      </c>
      <c r="I573">
        <v>6200</v>
      </c>
      <c r="J573">
        <v>0.2</v>
      </c>
      <c r="K573">
        <v>9920</v>
      </c>
      <c r="L573" t="s">
        <v>97</v>
      </c>
    </row>
    <row r="574" spans="1:12">
      <c r="A574" t="s">
        <v>974</v>
      </c>
      <c r="B574" t="s">
        <v>238</v>
      </c>
      <c r="C574" s="1">
        <v>46282</v>
      </c>
      <c r="D574" t="s">
        <v>41</v>
      </c>
      <c r="E574" t="s">
        <v>15</v>
      </c>
      <c r="F574" t="s">
        <v>16</v>
      </c>
      <c r="G574" t="s">
        <v>23</v>
      </c>
      <c r="H574">
        <v>1</v>
      </c>
      <c r="I574">
        <v>5400</v>
      </c>
      <c r="J574">
        <v>0</v>
      </c>
      <c r="K574">
        <v>5400</v>
      </c>
      <c r="L574" t="s">
        <v>135</v>
      </c>
    </row>
    <row r="575" spans="1:12">
      <c r="A575" t="s">
        <v>975</v>
      </c>
      <c r="B575" t="s">
        <v>976</v>
      </c>
      <c r="C575" s="1">
        <v>46152</v>
      </c>
      <c r="D575" t="s">
        <v>183</v>
      </c>
      <c r="E575" t="s">
        <v>15</v>
      </c>
      <c r="F575" t="s">
        <v>34</v>
      </c>
      <c r="G575" t="s">
        <v>29</v>
      </c>
      <c r="H575">
        <v>1</v>
      </c>
      <c r="I575">
        <v>9800</v>
      </c>
      <c r="J575">
        <v>0.05</v>
      </c>
      <c r="K575">
        <v>9310</v>
      </c>
      <c r="L575" t="s">
        <v>38</v>
      </c>
    </row>
    <row r="576" spans="1:12">
      <c r="A576" t="s">
        <v>977</v>
      </c>
      <c r="B576" t="s">
        <v>276</v>
      </c>
      <c r="C576" s="1">
        <v>46056</v>
      </c>
      <c r="D576" t="s">
        <v>53</v>
      </c>
      <c r="E576" t="s">
        <v>54</v>
      </c>
      <c r="F576" t="s">
        <v>16</v>
      </c>
      <c r="G576" t="s">
        <v>17</v>
      </c>
      <c r="H576">
        <v>3</v>
      </c>
      <c r="I576">
        <v>4500</v>
      </c>
      <c r="J576">
        <v>0.15</v>
      </c>
      <c r="K576">
        <v>11475</v>
      </c>
      <c r="L576" t="s">
        <v>85</v>
      </c>
    </row>
    <row r="577" spans="1:12">
      <c r="A577" t="s">
        <v>978</v>
      </c>
      <c r="B577" t="s">
        <v>370</v>
      </c>
      <c r="C577" s="1">
        <v>46280</v>
      </c>
      <c r="D577" t="s">
        <v>112</v>
      </c>
      <c r="E577" t="s">
        <v>15</v>
      </c>
      <c r="F577" t="s">
        <v>16</v>
      </c>
      <c r="G577" t="s">
        <v>23</v>
      </c>
      <c r="H577">
        <v>1</v>
      </c>
      <c r="I577">
        <v>3200</v>
      </c>
      <c r="J577">
        <v>0.2</v>
      </c>
      <c r="K577">
        <v>2560</v>
      </c>
      <c r="L577" t="s">
        <v>18</v>
      </c>
    </row>
    <row r="578" spans="1:12">
      <c r="A578" t="s">
        <v>979</v>
      </c>
      <c r="B578" t="s">
        <v>980</v>
      </c>
      <c r="C578" s="1">
        <v>46264</v>
      </c>
      <c r="D578" t="s">
        <v>57</v>
      </c>
      <c r="E578" t="s">
        <v>54</v>
      </c>
      <c r="F578" t="s">
        <v>34</v>
      </c>
      <c r="G578" t="s">
        <v>17</v>
      </c>
      <c r="H578">
        <v>1</v>
      </c>
      <c r="I578">
        <v>2400</v>
      </c>
      <c r="J578">
        <v>0.1</v>
      </c>
      <c r="K578">
        <v>2160</v>
      </c>
      <c r="L578" t="s">
        <v>85</v>
      </c>
    </row>
    <row r="579" spans="1:12">
      <c r="A579" t="s">
        <v>981</v>
      </c>
      <c r="B579" t="s">
        <v>976</v>
      </c>
      <c r="C579" s="1">
        <v>46091</v>
      </c>
      <c r="D579" t="s">
        <v>71</v>
      </c>
      <c r="E579" t="s">
        <v>47</v>
      </c>
      <c r="F579" t="s">
        <v>34</v>
      </c>
      <c r="G579" t="s">
        <v>23</v>
      </c>
      <c r="H579">
        <v>2</v>
      </c>
      <c r="I579">
        <v>5600</v>
      </c>
      <c r="J579">
        <v>0.2</v>
      </c>
      <c r="K579">
        <v>8960</v>
      </c>
      <c r="L579" t="s">
        <v>142</v>
      </c>
    </row>
    <row r="580" spans="1:12">
      <c r="A580" t="s">
        <v>982</v>
      </c>
      <c r="B580" t="s">
        <v>342</v>
      </c>
      <c r="C580" s="1">
        <v>46291</v>
      </c>
      <c r="D580" t="s">
        <v>60</v>
      </c>
      <c r="E580" t="s">
        <v>28</v>
      </c>
      <c r="F580" t="s">
        <v>16</v>
      </c>
      <c r="G580" t="s">
        <v>23</v>
      </c>
      <c r="H580">
        <v>1</v>
      </c>
      <c r="I580">
        <v>12800</v>
      </c>
      <c r="J580">
        <v>0</v>
      </c>
      <c r="K580">
        <v>12800</v>
      </c>
      <c r="L580" t="s">
        <v>64</v>
      </c>
    </row>
    <row r="581" spans="1:12">
      <c r="A581" t="s">
        <v>983</v>
      </c>
      <c r="B581" t="s">
        <v>984</v>
      </c>
      <c r="C581" s="1">
        <v>46106</v>
      </c>
      <c r="D581" t="s">
        <v>100</v>
      </c>
      <c r="E581" t="s">
        <v>28</v>
      </c>
      <c r="F581" t="s">
        <v>16</v>
      </c>
      <c r="G581" t="s">
        <v>17</v>
      </c>
      <c r="H581">
        <v>2</v>
      </c>
      <c r="I581">
        <v>4200</v>
      </c>
      <c r="J581">
        <v>0</v>
      </c>
      <c r="K581">
        <v>8400</v>
      </c>
      <c r="L581" t="s">
        <v>61</v>
      </c>
    </row>
    <row r="582" spans="1:12">
      <c r="A582" t="s">
        <v>985</v>
      </c>
      <c r="B582" t="s">
        <v>986</v>
      </c>
      <c r="C582" s="1">
        <v>46255</v>
      </c>
      <c r="D582" t="s">
        <v>183</v>
      </c>
      <c r="E582" t="s">
        <v>15</v>
      </c>
      <c r="F582" t="s">
        <v>16</v>
      </c>
      <c r="G582" t="s">
        <v>29</v>
      </c>
      <c r="H582">
        <v>1</v>
      </c>
      <c r="I582">
        <v>9800</v>
      </c>
      <c r="J582">
        <v>0</v>
      </c>
      <c r="K582">
        <v>9800</v>
      </c>
      <c r="L582" t="s">
        <v>135</v>
      </c>
    </row>
    <row r="583" spans="1:12">
      <c r="A583" t="s">
        <v>987</v>
      </c>
      <c r="B583" t="s">
        <v>988</v>
      </c>
      <c r="C583" s="1">
        <v>46288</v>
      </c>
      <c r="D583" t="s">
        <v>84</v>
      </c>
      <c r="E583" t="s">
        <v>22</v>
      </c>
      <c r="F583" t="s">
        <v>16</v>
      </c>
      <c r="G583" t="s">
        <v>29</v>
      </c>
      <c r="H583">
        <v>1</v>
      </c>
      <c r="I583">
        <v>8900</v>
      </c>
      <c r="J583">
        <v>0.15</v>
      </c>
      <c r="K583">
        <v>7565</v>
      </c>
      <c r="L583" t="s">
        <v>18</v>
      </c>
    </row>
    <row r="584" spans="1:12">
      <c r="A584" t="s">
        <v>989</v>
      </c>
      <c r="B584" t="s">
        <v>681</v>
      </c>
      <c r="C584" s="1">
        <v>46254</v>
      </c>
      <c r="D584" t="s">
        <v>53</v>
      </c>
      <c r="E584" t="s">
        <v>54</v>
      </c>
      <c r="F584" t="s">
        <v>34</v>
      </c>
      <c r="G584" t="s">
        <v>23</v>
      </c>
      <c r="H584">
        <v>1</v>
      </c>
      <c r="I584">
        <v>4500</v>
      </c>
      <c r="J584">
        <v>0.05</v>
      </c>
      <c r="K584">
        <v>4275</v>
      </c>
      <c r="L584" t="s">
        <v>24</v>
      </c>
    </row>
    <row r="585" spans="1:12">
      <c r="A585" t="s">
        <v>990</v>
      </c>
      <c r="B585" t="s">
        <v>70</v>
      </c>
      <c r="C585" s="1">
        <v>46093</v>
      </c>
      <c r="D585" t="s">
        <v>27</v>
      </c>
      <c r="E585" t="s">
        <v>28</v>
      </c>
      <c r="F585" t="s">
        <v>16</v>
      </c>
      <c r="G585" t="s">
        <v>23</v>
      </c>
      <c r="H585">
        <v>2</v>
      </c>
      <c r="I585">
        <v>3500</v>
      </c>
      <c r="J585">
        <v>0.15</v>
      </c>
      <c r="K585">
        <v>5950</v>
      </c>
      <c r="L585" t="s">
        <v>113</v>
      </c>
    </row>
    <row r="586" spans="1:12">
      <c r="A586" t="s">
        <v>991</v>
      </c>
      <c r="B586" t="s">
        <v>160</v>
      </c>
      <c r="C586" s="1">
        <v>46208</v>
      </c>
      <c r="D586" t="s">
        <v>103</v>
      </c>
      <c r="E586" t="s">
        <v>47</v>
      </c>
      <c r="F586" t="s">
        <v>16</v>
      </c>
      <c r="G586" t="s">
        <v>17</v>
      </c>
      <c r="H586">
        <v>2</v>
      </c>
      <c r="I586">
        <v>3800</v>
      </c>
      <c r="J586">
        <v>0.15</v>
      </c>
      <c r="K586">
        <v>6460</v>
      </c>
      <c r="L586" t="s">
        <v>61</v>
      </c>
    </row>
    <row r="587" spans="1:12">
      <c r="A587" t="s">
        <v>992</v>
      </c>
      <c r="B587" t="s">
        <v>575</v>
      </c>
      <c r="C587" s="1">
        <v>46209</v>
      </c>
      <c r="D587" t="s">
        <v>84</v>
      </c>
      <c r="E587" t="s">
        <v>22</v>
      </c>
      <c r="F587" t="s">
        <v>16</v>
      </c>
      <c r="G587" t="s">
        <v>17</v>
      </c>
      <c r="H587">
        <v>3</v>
      </c>
      <c r="I587">
        <v>8900</v>
      </c>
      <c r="J587">
        <v>0.1</v>
      </c>
      <c r="K587">
        <v>24030</v>
      </c>
      <c r="L587" t="s">
        <v>68</v>
      </c>
    </row>
    <row r="588" spans="1:12">
      <c r="A588" t="s">
        <v>993</v>
      </c>
      <c r="B588" t="s">
        <v>994</v>
      </c>
      <c r="C588" s="1">
        <v>46099</v>
      </c>
      <c r="D588" t="s">
        <v>57</v>
      </c>
      <c r="E588" t="s">
        <v>54</v>
      </c>
      <c r="F588" t="s">
        <v>16</v>
      </c>
      <c r="G588" t="s">
        <v>17</v>
      </c>
      <c r="H588">
        <v>1</v>
      </c>
      <c r="I588">
        <v>2400</v>
      </c>
      <c r="J588">
        <v>0.05</v>
      </c>
      <c r="K588">
        <v>2280</v>
      </c>
      <c r="L588" t="s">
        <v>113</v>
      </c>
    </row>
    <row r="589" spans="1:12">
      <c r="A589" t="s">
        <v>995</v>
      </c>
      <c r="B589" t="s">
        <v>845</v>
      </c>
      <c r="C589" s="1">
        <v>46125</v>
      </c>
      <c r="D589" t="s">
        <v>33</v>
      </c>
      <c r="E589" t="s">
        <v>28</v>
      </c>
      <c r="F589" t="s">
        <v>16</v>
      </c>
      <c r="G589" t="s">
        <v>29</v>
      </c>
      <c r="H589">
        <v>3</v>
      </c>
      <c r="I589">
        <v>8500</v>
      </c>
      <c r="J589">
        <v>0.05</v>
      </c>
      <c r="K589">
        <v>24225</v>
      </c>
      <c r="L589" t="s">
        <v>72</v>
      </c>
    </row>
    <row r="590" spans="1:12">
      <c r="A590" t="s">
        <v>996</v>
      </c>
      <c r="B590" t="s">
        <v>346</v>
      </c>
      <c r="C590" s="1">
        <v>46265</v>
      </c>
      <c r="D590" t="s">
        <v>67</v>
      </c>
      <c r="E590" t="s">
        <v>54</v>
      </c>
      <c r="F590" t="s">
        <v>16</v>
      </c>
      <c r="G590" t="s">
        <v>29</v>
      </c>
      <c r="H590">
        <v>2</v>
      </c>
      <c r="I590">
        <v>2800</v>
      </c>
      <c r="J590">
        <v>0.1</v>
      </c>
      <c r="K590">
        <v>5040</v>
      </c>
      <c r="L590" t="s">
        <v>72</v>
      </c>
    </row>
    <row r="591" spans="1:12">
      <c r="A591" t="s">
        <v>997</v>
      </c>
      <c r="B591" t="s">
        <v>998</v>
      </c>
      <c r="C591" s="1">
        <v>46046</v>
      </c>
      <c r="D591" t="s">
        <v>91</v>
      </c>
      <c r="E591" t="s">
        <v>22</v>
      </c>
      <c r="F591" t="s">
        <v>34</v>
      </c>
      <c r="G591" t="s">
        <v>29</v>
      </c>
      <c r="H591">
        <v>1</v>
      </c>
      <c r="I591">
        <v>11500</v>
      </c>
      <c r="J591">
        <v>0.1</v>
      </c>
      <c r="K591">
        <v>10350</v>
      </c>
      <c r="L591" t="s">
        <v>72</v>
      </c>
    </row>
    <row r="592" spans="1:12">
      <c r="A592" t="s">
        <v>999</v>
      </c>
      <c r="B592" t="s">
        <v>450</v>
      </c>
      <c r="C592" s="1">
        <v>46045</v>
      </c>
      <c r="D592" t="s">
        <v>103</v>
      </c>
      <c r="E592" t="s">
        <v>47</v>
      </c>
      <c r="F592" t="s">
        <v>34</v>
      </c>
      <c r="G592" t="s">
        <v>29</v>
      </c>
      <c r="H592">
        <v>4</v>
      </c>
      <c r="I592">
        <v>3800</v>
      </c>
      <c r="J592">
        <v>0.15</v>
      </c>
      <c r="K592">
        <v>12920</v>
      </c>
      <c r="L592" t="s">
        <v>35</v>
      </c>
    </row>
    <row r="593" spans="1:12">
      <c r="A593" t="s">
        <v>1000</v>
      </c>
      <c r="B593" t="s">
        <v>1001</v>
      </c>
      <c r="C593" s="1">
        <v>46241</v>
      </c>
      <c r="D593" t="s">
        <v>57</v>
      </c>
      <c r="E593" t="s">
        <v>54</v>
      </c>
      <c r="F593" t="s">
        <v>16</v>
      </c>
      <c r="G593" t="s">
        <v>17</v>
      </c>
      <c r="H593">
        <v>1</v>
      </c>
      <c r="I593">
        <v>2400</v>
      </c>
      <c r="J593">
        <v>0.2</v>
      </c>
      <c r="K593">
        <v>1920</v>
      </c>
      <c r="L593" t="s">
        <v>142</v>
      </c>
    </row>
    <row r="594" spans="1:12">
      <c r="A594" t="s">
        <v>1002</v>
      </c>
      <c r="B594" t="s">
        <v>1003</v>
      </c>
      <c r="C594" s="1">
        <v>46103</v>
      </c>
      <c r="D594" t="s">
        <v>100</v>
      </c>
      <c r="E594" t="s">
        <v>28</v>
      </c>
      <c r="F594" t="s">
        <v>16</v>
      </c>
      <c r="G594" t="s">
        <v>17</v>
      </c>
      <c r="H594">
        <v>1</v>
      </c>
      <c r="I594">
        <v>4200</v>
      </c>
      <c r="J594">
        <v>0.2</v>
      </c>
      <c r="K594">
        <v>3360</v>
      </c>
      <c r="L594" t="s">
        <v>113</v>
      </c>
    </row>
    <row r="595" spans="1:12">
      <c r="A595" t="s">
        <v>1004</v>
      </c>
      <c r="B595" t="s">
        <v>1005</v>
      </c>
      <c r="C595" s="1">
        <v>46070</v>
      </c>
      <c r="D595" t="s">
        <v>27</v>
      </c>
      <c r="E595" t="s">
        <v>28</v>
      </c>
      <c r="F595" t="s">
        <v>16</v>
      </c>
      <c r="G595" t="s">
        <v>17</v>
      </c>
      <c r="H595">
        <v>1</v>
      </c>
      <c r="I595">
        <v>3500</v>
      </c>
      <c r="J595">
        <v>0</v>
      </c>
      <c r="K595">
        <v>3500</v>
      </c>
      <c r="L595" t="s">
        <v>64</v>
      </c>
    </row>
    <row r="596" spans="1:12">
      <c r="A596" t="s">
        <v>1006</v>
      </c>
      <c r="B596" t="s">
        <v>783</v>
      </c>
      <c r="C596" s="1">
        <v>46201</v>
      </c>
      <c r="D596" t="s">
        <v>130</v>
      </c>
      <c r="E596" t="s">
        <v>22</v>
      </c>
      <c r="F596" t="s">
        <v>34</v>
      </c>
      <c r="G596" t="s">
        <v>29</v>
      </c>
      <c r="H596">
        <v>3</v>
      </c>
      <c r="I596">
        <v>5900</v>
      </c>
      <c r="J596">
        <v>0</v>
      </c>
      <c r="K596">
        <v>17700</v>
      </c>
      <c r="L596" t="s">
        <v>113</v>
      </c>
    </row>
    <row r="597" spans="1:12">
      <c r="A597" t="s">
        <v>1007</v>
      </c>
      <c r="B597" t="s">
        <v>607</v>
      </c>
      <c r="C597" s="1">
        <v>46276</v>
      </c>
      <c r="D597" t="s">
        <v>53</v>
      </c>
      <c r="E597" t="s">
        <v>54</v>
      </c>
      <c r="F597" t="s">
        <v>16</v>
      </c>
      <c r="G597" t="s">
        <v>17</v>
      </c>
      <c r="H597">
        <v>2</v>
      </c>
      <c r="I597">
        <v>4500</v>
      </c>
      <c r="J597">
        <v>0.05</v>
      </c>
      <c r="K597">
        <v>8550</v>
      </c>
      <c r="L597" t="s">
        <v>18</v>
      </c>
    </row>
    <row r="598" spans="1:12">
      <c r="A598" t="s">
        <v>1008</v>
      </c>
      <c r="B598" t="s">
        <v>681</v>
      </c>
      <c r="C598" s="1">
        <v>46156</v>
      </c>
      <c r="D598" t="s">
        <v>21</v>
      </c>
      <c r="E598" t="s">
        <v>22</v>
      </c>
      <c r="F598" t="s">
        <v>34</v>
      </c>
      <c r="G598" t="s">
        <v>29</v>
      </c>
      <c r="H598">
        <v>1</v>
      </c>
      <c r="I598">
        <v>7600</v>
      </c>
      <c r="J598">
        <v>0.05</v>
      </c>
      <c r="K598">
        <v>7220</v>
      </c>
      <c r="L598" t="s">
        <v>68</v>
      </c>
    </row>
    <row r="599" spans="1:12">
      <c r="A599" t="s">
        <v>1009</v>
      </c>
      <c r="B599" t="s">
        <v>668</v>
      </c>
      <c r="C599" s="1">
        <v>46092</v>
      </c>
      <c r="D599" t="s">
        <v>67</v>
      </c>
      <c r="E599" t="s">
        <v>54</v>
      </c>
      <c r="F599" t="s">
        <v>16</v>
      </c>
      <c r="G599" t="s">
        <v>17</v>
      </c>
      <c r="H599">
        <v>1</v>
      </c>
      <c r="I599">
        <v>2800</v>
      </c>
      <c r="J599">
        <v>0.05</v>
      </c>
      <c r="K599">
        <v>2660</v>
      </c>
      <c r="L599" t="s">
        <v>85</v>
      </c>
    </row>
    <row r="600" spans="1:12">
      <c r="A600" t="s">
        <v>1010</v>
      </c>
      <c r="B600" t="s">
        <v>1011</v>
      </c>
      <c r="C600" s="1">
        <v>46293</v>
      </c>
      <c r="D600" t="s">
        <v>21</v>
      </c>
      <c r="E600" t="s">
        <v>22</v>
      </c>
      <c r="F600" t="s">
        <v>16</v>
      </c>
      <c r="G600" t="s">
        <v>17</v>
      </c>
      <c r="H600">
        <v>1</v>
      </c>
      <c r="I600">
        <v>7600</v>
      </c>
      <c r="J600">
        <v>0.05</v>
      </c>
      <c r="K600">
        <v>7220</v>
      </c>
      <c r="L600" t="s">
        <v>61</v>
      </c>
    </row>
    <row r="601" spans="1:12">
      <c r="A601" t="s">
        <v>1012</v>
      </c>
      <c r="B601" t="s">
        <v>1013</v>
      </c>
      <c r="C601" s="1">
        <v>46201</v>
      </c>
      <c r="D601" t="s">
        <v>50</v>
      </c>
      <c r="E601" t="s">
        <v>28</v>
      </c>
      <c r="F601" t="s">
        <v>16</v>
      </c>
      <c r="G601" t="s">
        <v>29</v>
      </c>
      <c r="H601">
        <v>2</v>
      </c>
      <c r="I601">
        <v>6200</v>
      </c>
      <c r="J601">
        <v>0</v>
      </c>
      <c r="K601">
        <v>12400</v>
      </c>
      <c r="L601" t="s">
        <v>68</v>
      </c>
    </row>
    <row r="602" spans="1:12">
      <c r="A602" t="s">
        <v>1014</v>
      </c>
      <c r="B602" t="s">
        <v>243</v>
      </c>
      <c r="C602" s="1">
        <v>46087</v>
      </c>
      <c r="D602" t="s">
        <v>84</v>
      </c>
      <c r="E602" t="s">
        <v>22</v>
      </c>
      <c r="F602" t="s">
        <v>16</v>
      </c>
      <c r="G602" t="s">
        <v>17</v>
      </c>
      <c r="H602">
        <v>2</v>
      </c>
      <c r="I602">
        <v>8900</v>
      </c>
      <c r="J602">
        <v>0</v>
      </c>
      <c r="K602">
        <v>17800</v>
      </c>
      <c r="L602" t="s">
        <v>38</v>
      </c>
    </row>
    <row r="603" spans="1:12">
      <c r="A603" t="s">
        <v>1015</v>
      </c>
      <c r="B603" t="s">
        <v>117</v>
      </c>
      <c r="C603" s="1">
        <v>46102</v>
      </c>
      <c r="D603" t="s">
        <v>41</v>
      </c>
      <c r="E603" t="s">
        <v>15</v>
      </c>
      <c r="F603" t="s">
        <v>16</v>
      </c>
      <c r="G603" t="s">
        <v>23</v>
      </c>
      <c r="H603">
        <v>1</v>
      </c>
      <c r="I603">
        <v>5400</v>
      </c>
      <c r="J603">
        <v>0</v>
      </c>
      <c r="K603">
        <v>5400</v>
      </c>
      <c r="L603" t="s">
        <v>30</v>
      </c>
    </row>
    <row r="604" spans="1:12">
      <c r="A604" t="s">
        <v>1016</v>
      </c>
      <c r="B604" t="s">
        <v>1017</v>
      </c>
      <c r="C604" s="1">
        <v>46068</v>
      </c>
      <c r="D604" t="s">
        <v>53</v>
      </c>
      <c r="E604" t="s">
        <v>54</v>
      </c>
      <c r="F604" t="s">
        <v>34</v>
      </c>
      <c r="G604" t="s">
        <v>17</v>
      </c>
      <c r="H604">
        <v>1</v>
      </c>
      <c r="I604">
        <v>4500</v>
      </c>
      <c r="J604">
        <v>0.1</v>
      </c>
      <c r="K604">
        <v>4050</v>
      </c>
      <c r="L604" t="s">
        <v>24</v>
      </c>
    </row>
    <row r="605" spans="1:12">
      <c r="A605" t="s">
        <v>1018</v>
      </c>
      <c r="B605" t="s">
        <v>445</v>
      </c>
      <c r="C605" s="1">
        <v>46276</v>
      </c>
      <c r="D605" t="s">
        <v>33</v>
      </c>
      <c r="E605" t="s">
        <v>28</v>
      </c>
      <c r="F605" t="s">
        <v>16</v>
      </c>
      <c r="G605" t="s">
        <v>29</v>
      </c>
      <c r="H605">
        <v>1</v>
      </c>
      <c r="I605">
        <v>8500</v>
      </c>
      <c r="J605">
        <v>0.1</v>
      </c>
      <c r="K605">
        <v>7650</v>
      </c>
      <c r="L605" t="s">
        <v>30</v>
      </c>
    </row>
    <row r="606" spans="1:12">
      <c r="A606" t="s">
        <v>1019</v>
      </c>
      <c r="B606" t="s">
        <v>1020</v>
      </c>
      <c r="C606" s="1">
        <v>46177</v>
      </c>
      <c r="D606" t="s">
        <v>41</v>
      </c>
      <c r="E606" t="s">
        <v>15</v>
      </c>
      <c r="F606" t="s">
        <v>34</v>
      </c>
      <c r="G606" t="s">
        <v>29</v>
      </c>
      <c r="H606">
        <v>2</v>
      </c>
      <c r="I606">
        <v>5400</v>
      </c>
      <c r="J606">
        <v>0.1</v>
      </c>
      <c r="K606">
        <v>9720</v>
      </c>
      <c r="L606" t="s">
        <v>113</v>
      </c>
    </row>
    <row r="607" spans="1:12">
      <c r="A607" t="s">
        <v>1021</v>
      </c>
      <c r="B607" t="s">
        <v>102</v>
      </c>
      <c r="C607" s="1">
        <v>46194</v>
      </c>
      <c r="D607" t="s">
        <v>100</v>
      </c>
      <c r="E607" t="s">
        <v>28</v>
      </c>
      <c r="F607" t="s">
        <v>16</v>
      </c>
      <c r="G607" t="s">
        <v>17</v>
      </c>
      <c r="H607">
        <v>2</v>
      </c>
      <c r="I607">
        <v>4200</v>
      </c>
      <c r="J607">
        <v>0.1</v>
      </c>
      <c r="K607">
        <v>7560</v>
      </c>
      <c r="L607" t="s">
        <v>18</v>
      </c>
    </row>
    <row r="608" spans="1:12">
      <c r="A608" t="s">
        <v>1022</v>
      </c>
      <c r="B608" t="s">
        <v>722</v>
      </c>
      <c r="C608" s="1">
        <v>46036</v>
      </c>
      <c r="D608" t="s">
        <v>46</v>
      </c>
      <c r="E608" t="s">
        <v>47</v>
      </c>
      <c r="F608" t="s">
        <v>16</v>
      </c>
      <c r="G608" t="s">
        <v>17</v>
      </c>
      <c r="H608">
        <v>1</v>
      </c>
      <c r="I608">
        <v>9200</v>
      </c>
      <c r="J608">
        <v>0.2</v>
      </c>
      <c r="K608">
        <v>7360</v>
      </c>
      <c r="L608" t="s">
        <v>68</v>
      </c>
    </row>
    <row r="609" spans="1:12">
      <c r="A609" t="s">
        <v>1023</v>
      </c>
      <c r="B609" t="s">
        <v>1024</v>
      </c>
      <c r="C609" s="1">
        <v>46253</v>
      </c>
      <c r="D609" t="s">
        <v>112</v>
      </c>
      <c r="E609" t="s">
        <v>15</v>
      </c>
      <c r="F609" t="s">
        <v>16</v>
      </c>
      <c r="G609" t="s">
        <v>29</v>
      </c>
      <c r="H609">
        <v>2</v>
      </c>
      <c r="I609">
        <v>3200</v>
      </c>
      <c r="J609">
        <v>0.1</v>
      </c>
      <c r="K609">
        <v>5760</v>
      </c>
      <c r="L609" t="s">
        <v>72</v>
      </c>
    </row>
    <row r="610" spans="1:12">
      <c r="A610" t="s">
        <v>1025</v>
      </c>
      <c r="B610" t="s">
        <v>1026</v>
      </c>
      <c r="C610" s="1">
        <v>46213</v>
      </c>
      <c r="D610" t="s">
        <v>27</v>
      </c>
      <c r="E610" t="s">
        <v>28</v>
      </c>
      <c r="F610" t="s">
        <v>16</v>
      </c>
      <c r="G610" t="s">
        <v>17</v>
      </c>
      <c r="H610">
        <v>2</v>
      </c>
      <c r="I610">
        <v>3500</v>
      </c>
      <c r="J610">
        <v>0</v>
      </c>
      <c r="K610">
        <v>7000</v>
      </c>
      <c r="L610" t="s">
        <v>113</v>
      </c>
    </row>
    <row r="611" spans="1:12">
      <c r="A611" t="s">
        <v>1027</v>
      </c>
      <c r="B611" t="s">
        <v>132</v>
      </c>
      <c r="C611" s="1">
        <v>46025</v>
      </c>
      <c r="D611" t="s">
        <v>71</v>
      </c>
      <c r="E611" t="s">
        <v>47</v>
      </c>
      <c r="F611" t="s">
        <v>16</v>
      </c>
      <c r="G611" t="s">
        <v>29</v>
      </c>
      <c r="H611">
        <v>3</v>
      </c>
      <c r="I611">
        <v>5600</v>
      </c>
      <c r="J611">
        <v>0.15</v>
      </c>
      <c r="K611">
        <v>14280</v>
      </c>
      <c r="L611" t="s">
        <v>35</v>
      </c>
    </row>
    <row r="612" spans="1:12">
      <c r="A612" t="s">
        <v>1028</v>
      </c>
      <c r="B612" t="s">
        <v>562</v>
      </c>
      <c r="C612" s="1">
        <v>46070</v>
      </c>
      <c r="D612" t="s">
        <v>33</v>
      </c>
      <c r="E612" t="s">
        <v>28</v>
      </c>
      <c r="F612" t="s">
        <v>16</v>
      </c>
      <c r="G612" t="s">
        <v>23</v>
      </c>
      <c r="H612">
        <v>1</v>
      </c>
      <c r="I612">
        <v>8500</v>
      </c>
      <c r="J612">
        <v>0.05</v>
      </c>
      <c r="K612">
        <v>8075</v>
      </c>
      <c r="L612" t="s">
        <v>97</v>
      </c>
    </row>
    <row r="613" spans="1:12">
      <c r="A613" t="s">
        <v>1029</v>
      </c>
      <c r="B613" t="s">
        <v>481</v>
      </c>
      <c r="C613" s="1">
        <v>46101</v>
      </c>
      <c r="D613" t="s">
        <v>112</v>
      </c>
      <c r="E613" t="s">
        <v>15</v>
      </c>
      <c r="F613" t="s">
        <v>16</v>
      </c>
      <c r="G613" t="s">
        <v>17</v>
      </c>
      <c r="H613">
        <v>1</v>
      </c>
      <c r="I613">
        <v>3200</v>
      </c>
      <c r="J613">
        <v>0</v>
      </c>
      <c r="K613">
        <v>3200</v>
      </c>
      <c r="L613" t="s">
        <v>64</v>
      </c>
    </row>
    <row r="614" spans="1:12">
      <c r="A614" t="s">
        <v>1030</v>
      </c>
      <c r="B614" t="s">
        <v>1031</v>
      </c>
      <c r="C614" s="1">
        <v>46147</v>
      </c>
      <c r="D614" t="s">
        <v>130</v>
      </c>
      <c r="E614" t="s">
        <v>22</v>
      </c>
      <c r="F614" t="s">
        <v>16</v>
      </c>
      <c r="G614" t="s">
        <v>17</v>
      </c>
      <c r="H614">
        <v>2</v>
      </c>
      <c r="I614">
        <v>5900</v>
      </c>
      <c r="J614">
        <v>0.1</v>
      </c>
      <c r="K614">
        <v>10620</v>
      </c>
      <c r="L614" t="s">
        <v>123</v>
      </c>
    </row>
    <row r="615" spans="1:12">
      <c r="A615" t="s">
        <v>1032</v>
      </c>
      <c r="B615" t="s">
        <v>510</v>
      </c>
      <c r="C615" s="1">
        <v>46173</v>
      </c>
      <c r="D615" t="s">
        <v>57</v>
      </c>
      <c r="E615" t="s">
        <v>54</v>
      </c>
      <c r="F615" t="s">
        <v>16</v>
      </c>
      <c r="G615" t="s">
        <v>29</v>
      </c>
      <c r="H615">
        <v>3</v>
      </c>
      <c r="I615">
        <v>2400</v>
      </c>
      <c r="J615">
        <v>0.1</v>
      </c>
      <c r="K615">
        <v>6480</v>
      </c>
      <c r="L615" t="s">
        <v>135</v>
      </c>
    </row>
    <row r="616" spans="1:12">
      <c r="A616" t="s">
        <v>1033</v>
      </c>
      <c r="B616" t="s">
        <v>592</v>
      </c>
      <c r="C616" s="1">
        <v>46172</v>
      </c>
      <c r="D616" t="s">
        <v>112</v>
      </c>
      <c r="E616" t="s">
        <v>15</v>
      </c>
      <c r="F616" t="s">
        <v>34</v>
      </c>
      <c r="G616" t="s">
        <v>29</v>
      </c>
      <c r="H616">
        <v>2</v>
      </c>
      <c r="I616">
        <v>3200</v>
      </c>
      <c r="J616">
        <v>0.05</v>
      </c>
      <c r="K616">
        <v>6080</v>
      </c>
      <c r="L616" t="s">
        <v>142</v>
      </c>
    </row>
    <row r="617" spans="1:12">
      <c r="A617" t="s">
        <v>1034</v>
      </c>
      <c r="B617" t="s">
        <v>314</v>
      </c>
      <c r="C617" s="1">
        <v>46281</v>
      </c>
      <c r="D617" t="s">
        <v>50</v>
      </c>
      <c r="E617" t="s">
        <v>28</v>
      </c>
      <c r="F617" t="s">
        <v>34</v>
      </c>
      <c r="G617" t="s">
        <v>29</v>
      </c>
      <c r="H617">
        <v>1</v>
      </c>
      <c r="I617">
        <v>6200</v>
      </c>
      <c r="J617">
        <v>0</v>
      </c>
      <c r="K617">
        <v>6200</v>
      </c>
      <c r="L617" t="s">
        <v>85</v>
      </c>
    </row>
    <row r="618" spans="1:12">
      <c r="A618" t="s">
        <v>1035</v>
      </c>
      <c r="B618" t="s">
        <v>686</v>
      </c>
      <c r="C618" s="1">
        <v>46190</v>
      </c>
      <c r="D618" t="s">
        <v>41</v>
      </c>
      <c r="E618" t="s">
        <v>15</v>
      </c>
      <c r="F618" t="s">
        <v>16</v>
      </c>
      <c r="G618" t="s">
        <v>29</v>
      </c>
      <c r="H618">
        <v>2</v>
      </c>
      <c r="I618">
        <v>5400</v>
      </c>
      <c r="J618">
        <v>0.05</v>
      </c>
      <c r="K618">
        <v>10260</v>
      </c>
      <c r="L618" t="s">
        <v>35</v>
      </c>
    </row>
    <row r="619" spans="1:12">
      <c r="A619" t="s">
        <v>1036</v>
      </c>
      <c r="B619" t="s">
        <v>1037</v>
      </c>
      <c r="C619" s="1">
        <v>46178</v>
      </c>
      <c r="D619" t="s">
        <v>41</v>
      </c>
      <c r="E619" t="s">
        <v>15</v>
      </c>
      <c r="F619" t="s">
        <v>34</v>
      </c>
      <c r="G619" t="s">
        <v>17</v>
      </c>
      <c r="H619">
        <v>2</v>
      </c>
      <c r="I619">
        <v>5400</v>
      </c>
      <c r="J619">
        <v>0.2</v>
      </c>
      <c r="K619">
        <v>8640</v>
      </c>
      <c r="L619" t="s">
        <v>72</v>
      </c>
    </row>
    <row r="620" spans="1:12">
      <c r="A620" t="s">
        <v>1038</v>
      </c>
      <c r="B620" t="s">
        <v>301</v>
      </c>
      <c r="C620" s="1">
        <v>46235</v>
      </c>
      <c r="D620" t="s">
        <v>183</v>
      </c>
      <c r="E620" t="s">
        <v>15</v>
      </c>
      <c r="F620" t="s">
        <v>16</v>
      </c>
      <c r="G620" t="s">
        <v>23</v>
      </c>
      <c r="H620">
        <v>2</v>
      </c>
      <c r="I620">
        <v>9800</v>
      </c>
      <c r="J620">
        <v>0.05</v>
      </c>
      <c r="K620">
        <v>18620</v>
      </c>
      <c r="L620" t="s">
        <v>142</v>
      </c>
    </row>
    <row r="621" spans="1:12">
      <c r="A621" t="s">
        <v>1039</v>
      </c>
      <c r="B621" t="s">
        <v>1001</v>
      </c>
      <c r="C621" s="1">
        <v>46266</v>
      </c>
      <c r="D621" t="s">
        <v>21</v>
      </c>
      <c r="E621" t="s">
        <v>22</v>
      </c>
      <c r="F621" t="s">
        <v>16</v>
      </c>
      <c r="G621" t="s">
        <v>29</v>
      </c>
      <c r="H621">
        <v>1</v>
      </c>
      <c r="I621">
        <v>7600</v>
      </c>
      <c r="J621">
        <v>0.1</v>
      </c>
      <c r="K621">
        <v>6840</v>
      </c>
      <c r="L621" t="s">
        <v>97</v>
      </c>
    </row>
    <row r="622" spans="1:12">
      <c r="A622" t="s">
        <v>1040</v>
      </c>
      <c r="B622" t="s">
        <v>1041</v>
      </c>
      <c r="C622" s="1">
        <v>46094</v>
      </c>
      <c r="D622" t="s">
        <v>53</v>
      </c>
      <c r="E622" t="s">
        <v>54</v>
      </c>
      <c r="F622" t="s">
        <v>34</v>
      </c>
      <c r="G622" t="s">
        <v>17</v>
      </c>
      <c r="H622">
        <v>4</v>
      </c>
      <c r="I622">
        <v>4500</v>
      </c>
      <c r="J622">
        <v>0</v>
      </c>
      <c r="K622">
        <v>18000</v>
      </c>
      <c r="L622" t="s">
        <v>85</v>
      </c>
    </row>
    <row r="623" spans="1:12">
      <c r="A623" t="s">
        <v>1042</v>
      </c>
      <c r="B623" t="s">
        <v>318</v>
      </c>
      <c r="C623" s="1">
        <v>46046</v>
      </c>
      <c r="D623" t="s">
        <v>67</v>
      </c>
      <c r="E623" t="s">
        <v>54</v>
      </c>
      <c r="F623" t="s">
        <v>16</v>
      </c>
      <c r="G623" t="s">
        <v>17</v>
      </c>
      <c r="H623">
        <v>1</v>
      </c>
      <c r="I623">
        <v>2800</v>
      </c>
      <c r="J623">
        <v>0.1</v>
      </c>
      <c r="K623">
        <v>2520</v>
      </c>
      <c r="L623" t="s">
        <v>35</v>
      </c>
    </row>
    <row r="624" spans="1:12">
      <c r="A624" t="s">
        <v>1043</v>
      </c>
      <c r="B624" t="s">
        <v>1044</v>
      </c>
      <c r="C624" s="1">
        <v>46117</v>
      </c>
      <c r="D624" t="s">
        <v>130</v>
      </c>
      <c r="E624" t="s">
        <v>22</v>
      </c>
      <c r="F624" t="s">
        <v>16</v>
      </c>
      <c r="G624" t="s">
        <v>17</v>
      </c>
      <c r="H624">
        <v>2</v>
      </c>
      <c r="I624">
        <v>5900</v>
      </c>
      <c r="J624">
        <v>0</v>
      </c>
      <c r="K624">
        <v>11800</v>
      </c>
      <c r="L624" t="s">
        <v>135</v>
      </c>
    </row>
    <row r="625" spans="1:12">
      <c r="A625" t="s">
        <v>1045</v>
      </c>
      <c r="B625" t="s">
        <v>948</v>
      </c>
      <c r="C625" s="1">
        <v>46089</v>
      </c>
      <c r="D625" t="s">
        <v>84</v>
      </c>
      <c r="E625" t="s">
        <v>22</v>
      </c>
      <c r="F625" t="s">
        <v>34</v>
      </c>
      <c r="G625" t="s">
        <v>17</v>
      </c>
      <c r="H625">
        <v>3</v>
      </c>
      <c r="I625">
        <v>8900</v>
      </c>
      <c r="J625">
        <v>0</v>
      </c>
      <c r="K625">
        <v>26700</v>
      </c>
      <c r="L625" t="s">
        <v>123</v>
      </c>
    </row>
    <row r="626" spans="1:12">
      <c r="A626" t="s">
        <v>1046</v>
      </c>
      <c r="B626" t="s">
        <v>1047</v>
      </c>
      <c r="C626" s="1">
        <v>46054</v>
      </c>
      <c r="D626" t="s">
        <v>118</v>
      </c>
      <c r="E626" t="s">
        <v>47</v>
      </c>
      <c r="F626" t="s">
        <v>34</v>
      </c>
      <c r="G626" t="s">
        <v>17</v>
      </c>
      <c r="H626">
        <v>1</v>
      </c>
      <c r="I626">
        <v>4100</v>
      </c>
      <c r="J626">
        <v>0.1</v>
      </c>
      <c r="K626">
        <v>3690</v>
      </c>
      <c r="L626" t="s">
        <v>64</v>
      </c>
    </row>
    <row r="627" spans="1:12">
      <c r="A627" t="s">
        <v>1048</v>
      </c>
      <c r="B627" t="s">
        <v>1049</v>
      </c>
      <c r="C627" s="1">
        <v>46131</v>
      </c>
      <c r="D627" t="s">
        <v>41</v>
      </c>
      <c r="E627" t="s">
        <v>15</v>
      </c>
      <c r="F627" t="s">
        <v>16</v>
      </c>
      <c r="G627" t="s">
        <v>17</v>
      </c>
      <c r="H627">
        <v>3</v>
      </c>
      <c r="I627">
        <v>5400</v>
      </c>
      <c r="J627">
        <v>0.15</v>
      </c>
      <c r="K627">
        <v>13770</v>
      </c>
      <c r="L627" t="s">
        <v>113</v>
      </c>
    </row>
    <row r="628" spans="1:12">
      <c r="A628" t="s">
        <v>1050</v>
      </c>
      <c r="B628" t="s">
        <v>448</v>
      </c>
      <c r="C628" s="1">
        <v>46273</v>
      </c>
      <c r="D628" t="s">
        <v>88</v>
      </c>
      <c r="E628" t="s">
        <v>15</v>
      </c>
      <c r="F628" t="s">
        <v>34</v>
      </c>
      <c r="G628" t="s">
        <v>17</v>
      </c>
      <c r="H628">
        <v>2</v>
      </c>
      <c r="I628">
        <v>4800</v>
      </c>
      <c r="J628">
        <v>0.2</v>
      </c>
      <c r="K628">
        <v>7680</v>
      </c>
      <c r="L628" t="s">
        <v>35</v>
      </c>
    </row>
    <row r="629" spans="1:12">
      <c r="A629" t="s">
        <v>1051</v>
      </c>
      <c r="B629" t="s">
        <v>1052</v>
      </c>
      <c r="C629" s="1">
        <v>46190</v>
      </c>
      <c r="D629" t="s">
        <v>46</v>
      </c>
      <c r="E629" t="s">
        <v>47</v>
      </c>
      <c r="F629" t="s">
        <v>16</v>
      </c>
      <c r="G629" t="s">
        <v>17</v>
      </c>
      <c r="H629">
        <v>1</v>
      </c>
      <c r="I629">
        <v>9200</v>
      </c>
      <c r="J629">
        <v>0.1</v>
      </c>
      <c r="K629">
        <v>8280</v>
      </c>
      <c r="L629" t="s">
        <v>123</v>
      </c>
    </row>
    <row r="630" spans="1:12">
      <c r="A630" t="s">
        <v>1053</v>
      </c>
      <c r="B630" t="s">
        <v>501</v>
      </c>
      <c r="C630" s="1">
        <v>46154</v>
      </c>
      <c r="D630" t="s">
        <v>91</v>
      </c>
      <c r="E630" t="s">
        <v>22</v>
      </c>
      <c r="F630" t="s">
        <v>16</v>
      </c>
      <c r="G630" t="s">
        <v>23</v>
      </c>
      <c r="H630">
        <v>1</v>
      </c>
      <c r="I630">
        <v>11500</v>
      </c>
      <c r="J630">
        <v>0</v>
      </c>
      <c r="K630">
        <v>11500</v>
      </c>
      <c r="L630" t="s">
        <v>24</v>
      </c>
    </row>
    <row r="631" spans="1:12">
      <c r="A631" t="s">
        <v>1054</v>
      </c>
      <c r="B631" t="s">
        <v>388</v>
      </c>
      <c r="C631" s="1">
        <v>46102</v>
      </c>
      <c r="D631" t="s">
        <v>96</v>
      </c>
      <c r="E631" t="s">
        <v>22</v>
      </c>
      <c r="F631" t="s">
        <v>34</v>
      </c>
      <c r="G631" t="s">
        <v>23</v>
      </c>
      <c r="H631">
        <v>1</v>
      </c>
      <c r="I631">
        <v>3200</v>
      </c>
      <c r="J631">
        <v>0</v>
      </c>
      <c r="K631">
        <v>3200</v>
      </c>
      <c r="L631" t="s">
        <v>97</v>
      </c>
    </row>
    <row r="632" spans="1:12">
      <c r="A632" t="s">
        <v>1055</v>
      </c>
      <c r="B632" t="s">
        <v>654</v>
      </c>
      <c r="C632" s="1">
        <v>46073</v>
      </c>
      <c r="D632" t="s">
        <v>53</v>
      </c>
      <c r="E632" t="s">
        <v>54</v>
      </c>
      <c r="F632" t="s">
        <v>16</v>
      </c>
      <c r="G632" t="s">
        <v>23</v>
      </c>
      <c r="H632">
        <v>1</v>
      </c>
      <c r="I632">
        <v>4500</v>
      </c>
      <c r="J632">
        <v>0.05</v>
      </c>
      <c r="K632">
        <v>4275</v>
      </c>
      <c r="L632" t="s">
        <v>35</v>
      </c>
    </row>
    <row r="633" spans="1:12">
      <c r="A633" t="s">
        <v>1056</v>
      </c>
      <c r="B633" t="s">
        <v>1005</v>
      </c>
      <c r="C633" s="1">
        <v>46184</v>
      </c>
      <c r="D633" t="s">
        <v>96</v>
      </c>
      <c r="E633" t="s">
        <v>22</v>
      </c>
      <c r="F633" t="s">
        <v>16</v>
      </c>
      <c r="G633" t="s">
        <v>29</v>
      </c>
      <c r="H633">
        <v>2</v>
      </c>
      <c r="I633">
        <v>3200</v>
      </c>
      <c r="J633">
        <v>0.15</v>
      </c>
      <c r="K633">
        <v>5440</v>
      </c>
      <c r="L633" t="s">
        <v>35</v>
      </c>
    </row>
    <row r="634" spans="1:12">
      <c r="A634" t="s">
        <v>1057</v>
      </c>
      <c r="B634" t="s">
        <v>612</v>
      </c>
      <c r="C634" s="1">
        <v>46236</v>
      </c>
      <c r="D634" t="s">
        <v>103</v>
      </c>
      <c r="E634" t="s">
        <v>47</v>
      </c>
      <c r="F634" t="s">
        <v>34</v>
      </c>
      <c r="G634" t="s">
        <v>29</v>
      </c>
      <c r="H634">
        <v>1</v>
      </c>
      <c r="I634">
        <v>3800</v>
      </c>
      <c r="J634">
        <v>0</v>
      </c>
      <c r="K634">
        <v>3800</v>
      </c>
      <c r="L634" t="s">
        <v>123</v>
      </c>
    </row>
    <row r="635" spans="1:12">
      <c r="A635" t="s">
        <v>1058</v>
      </c>
      <c r="B635" t="s">
        <v>644</v>
      </c>
      <c r="C635" s="1">
        <v>46026</v>
      </c>
      <c r="D635" t="s">
        <v>91</v>
      </c>
      <c r="E635" t="s">
        <v>22</v>
      </c>
      <c r="F635" t="s">
        <v>34</v>
      </c>
      <c r="G635" t="s">
        <v>17</v>
      </c>
      <c r="H635">
        <v>3</v>
      </c>
      <c r="I635">
        <v>11500</v>
      </c>
      <c r="J635">
        <v>0</v>
      </c>
      <c r="K635">
        <v>34500</v>
      </c>
      <c r="L635" t="s">
        <v>18</v>
      </c>
    </row>
    <row r="636" spans="1:12">
      <c r="A636" t="s">
        <v>1059</v>
      </c>
      <c r="B636" t="s">
        <v>1060</v>
      </c>
      <c r="C636" s="1">
        <v>46202</v>
      </c>
      <c r="D636" t="s">
        <v>67</v>
      </c>
      <c r="E636" t="s">
        <v>54</v>
      </c>
      <c r="F636" t="s">
        <v>16</v>
      </c>
      <c r="G636" t="s">
        <v>17</v>
      </c>
      <c r="H636">
        <v>2</v>
      </c>
      <c r="I636">
        <v>2800</v>
      </c>
      <c r="J636">
        <v>0.15</v>
      </c>
      <c r="K636">
        <v>4760</v>
      </c>
      <c r="L636" t="s">
        <v>38</v>
      </c>
    </row>
    <row r="637" spans="1:12">
      <c r="A637" t="s">
        <v>1061</v>
      </c>
      <c r="B637" t="s">
        <v>1062</v>
      </c>
      <c r="C637" s="1">
        <v>46065</v>
      </c>
      <c r="D637" t="s">
        <v>60</v>
      </c>
      <c r="E637" t="s">
        <v>28</v>
      </c>
      <c r="F637" t="s">
        <v>34</v>
      </c>
      <c r="G637" t="s">
        <v>29</v>
      </c>
      <c r="H637">
        <v>1</v>
      </c>
      <c r="I637">
        <v>12800</v>
      </c>
      <c r="J637">
        <v>0</v>
      </c>
      <c r="K637">
        <v>12800</v>
      </c>
      <c r="L637" t="s">
        <v>35</v>
      </c>
    </row>
    <row r="638" spans="1:12">
      <c r="A638" t="s">
        <v>1063</v>
      </c>
      <c r="B638" t="s">
        <v>218</v>
      </c>
      <c r="C638" s="1">
        <v>46068</v>
      </c>
      <c r="D638" t="s">
        <v>46</v>
      </c>
      <c r="E638" t="s">
        <v>47</v>
      </c>
      <c r="F638" t="s">
        <v>34</v>
      </c>
      <c r="G638" t="s">
        <v>23</v>
      </c>
      <c r="H638">
        <v>2</v>
      </c>
      <c r="I638">
        <v>9200</v>
      </c>
      <c r="J638">
        <v>0.05</v>
      </c>
      <c r="K638">
        <v>17480</v>
      </c>
      <c r="L638" t="s">
        <v>30</v>
      </c>
    </row>
    <row r="639" spans="1:12">
      <c r="A639" t="s">
        <v>1064</v>
      </c>
      <c r="B639" t="s">
        <v>596</v>
      </c>
      <c r="C639" s="1">
        <v>46231</v>
      </c>
      <c r="D639" t="s">
        <v>60</v>
      </c>
      <c r="E639" t="s">
        <v>28</v>
      </c>
      <c r="F639" t="s">
        <v>34</v>
      </c>
      <c r="G639" t="s">
        <v>29</v>
      </c>
      <c r="H639">
        <v>2</v>
      </c>
      <c r="I639">
        <v>12800</v>
      </c>
      <c r="J639">
        <v>0.1</v>
      </c>
      <c r="K639">
        <v>23040</v>
      </c>
      <c r="L639" t="s">
        <v>68</v>
      </c>
    </row>
    <row r="640" spans="1:12">
      <c r="A640" t="s">
        <v>1065</v>
      </c>
      <c r="B640" t="s">
        <v>109</v>
      </c>
      <c r="C640" s="1">
        <v>46058</v>
      </c>
      <c r="D640" t="s">
        <v>115</v>
      </c>
      <c r="E640" t="s">
        <v>54</v>
      </c>
      <c r="F640" t="s">
        <v>34</v>
      </c>
      <c r="G640" t="s">
        <v>29</v>
      </c>
      <c r="H640">
        <v>1</v>
      </c>
      <c r="I640">
        <v>6800</v>
      </c>
      <c r="J640">
        <v>0.05</v>
      </c>
      <c r="K640">
        <v>6460</v>
      </c>
      <c r="L640" t="s">
        <v>38</v>
      </c>
    </row>
    <row r="641" spans="1:12">
      <c r="A641" t="s">
        <v>1066</v>
      </c>
      <c r="B641" t="s">
        <v>362</v>
      </c>
      <c r="C641" s="1">
        <v>46032</v>
      </c>
      <c r="D641" t="s">
        <v>50</v>
      </c>
      <c r="E641" t="s">
        <v>28</v>
      </c>
      <c r="F641" t="s">
        <v>16</v>
      </c>
      <c r="G641" t="s">
        <v>17</v>
      </c>
      <c r="H641">
        <v>3</v>
      </c>
      <c r="I641">
        <v>6200</v>
      </c>
      <c r="J641">
        <v>0.05</v>
      </c>
      <c r="K641">
        <v>17670</v>
      </c>
      <c r="L641" t="s">
        <v>18</v>
      </c>
    </row>
    <row r="642" spans="1:12">
      <c r="A642" t="s">
        <v>1067</v>
      </c>
      <c r="B642" t="s">
        <v>358</v>
      </c>
      <c r="C642" s="1">
        <v>46233</v>
      </c>
      <c r="D642" t="s">
        <v>389</v>
      </c>
      <c r="E642" t="s">
        <v>47</v>
      </c>
      <c r="F642" t="s">
        <v>16</v>
      </c>
      <c r="G642" t="s">
        <v>17</v>
      </c>
      <c r="H642">
        <v>2</v>
      </c>
      <c r="I642">
        <v>7400</v>
      </c>
      <c r="J642">
        <v>0.05</v>
      </c>
      <c r="K642">
        <v>14060</v>
      </c>
      <c r="L642" t="s">
        <v>18</v>
      </c>
    </row>
    <row r="643" spans="1:12">
      <c r="A643" t="s">
        <v>1068</v>
      </c>
      <c r="B643" t="s">
        <v>1011</v>
      </c>
      <c r="C643" s="1">
        <v>46154</v>
      </c>
      <c r="D643" t="s">
        <v>50</v>
      </c>
      <c r="E643" t="s">
        <v>28</v>
      </c>
      <c r="F643" t="s">
        <v>16</v>
      </c>
      <c r="G643" t="s">
        <v>29</v>
      </c>
      <c r="H643">
        <v>2</v>
      </c>
      <c r="I643">
        <v>6200</v>
      </c>
      <c r="J643">
        <v>0.1</v>
      </c>
      <c r="K643">
        <v>11160</v>
      </c>
      <c r="L643" t="s">
        <v>18</v>
      </c>
    </row>
    <row r="644" spans="1:12">
      <c r="A644" t="s">
        <v>1069</v>
      </c>
      <c r="B644" t="s">
        <v>1070</v>
      </c>
      <c r="C644" s="1">
        <v>46207</v>
      </c>
      <c r="D644" t="s">
        <v>50</v>
      </c>
      <c r="E644" t="s">
        <v>28</v>
      </c>
      <c r="F644" t="s">
        <v>34</v>
      </c>
      <c r="G644" t="s">
        <v>29</v>
      </c>
      <c r="H644">
        <v>2</v>
      </c>
      <c r="I644">
        <v>6200</v>
      </c>
      <c r="J644">
        <v>0.1</v>
      </c>
      <c r="K644">
        <v>11160</v>
      </c>
      <c r="L644" t="s">
        <v>123</v>
      </c>
    </row>
    <row r="645" spans="1:12">
      <c r="A645" t="s">
        <v>1071</v>
      </c>
      <c r="B645" t="s">
        <v>1072</v>
      </c>
      <c r="C645" s="1">
        <v>46107</v>
      </c>
      <c r="D645" t="s">
        <v>60</v>
      </c>
      <c r="E645" t="s">
        <v>28</v>
      </c>
      <c r="F645" t="s">
        <v>16</v>
      </c>
      <c r="G645" t="s">
        <v>17</v>
      </c>
      <c r="H645">
        <v>2</v>
      </c>
      <c r="I645">
        <v>12800</v>
      </c>
      <c r="J645">
        <v>0.05</v>
      </c>
      <c r="K645">
        <v>24320</v>
      </c>
      <c r="L645" t="s">
        <v>135</v>
      </c>
    </row>
    <row r="646" spans="1:12">
      <c r="A646" t="s">
        <v>1073</v>
      </c>
      <c r="B646" t="s">
        <v>550</v>
      </c>
      <c r="C646" s="1">
        <v>46184</v>
      </c>
      <c r="D646" t="s">
        <v>389</v>
      </c>
      <c r="E646" t="s">
        <v>47</v>
      </c>
      <c r="F646" t="s">
        <v>34</v>
      </c>
      <c r="G646" t="s">
        <v>17</v>
      </c>
      <c r="H646">
        <v>2</v>
      </c>
      <c r="I646">
        <v>7400</v>
      </c>
      <c r="J646">
        <v>0</v>
      </c>
      <c r="K646">
        <v>14800</v>
      </c>
      <c r="L646" t="s">
        <v>68</v>
      </c>
    </row>
    <row r="647" spans="1:12">
      <c r="A647" t="s">
        <v>1074</v>
      </c>
      <c r="B647" t="s">
        <v>588</v>
      </c>
      <c r="C647" s="1">
        <v>46127</v>
      </c>
      <c r="D647" t="s">
        <v>84</v>
      </c>
      <c r="E647" t="s">
        <v>22</v>
      </c>
      <c r="F647" t="s">
        <v>34</v>
      </c>
      <c r="G647" t="s">
        <v>17</v>
      </c>
      <c r="H647">
        <v>1</v>
      </c>
      <c r="I647">
        <v>8900</v>
      </c>
      <c r="J647">
        <v>0.05</v>
      </c>
      <c r="K647">
        <v>8455</v>
      </c>
      <c r="L647" t="s">
        <v>68</v>
      </c>
    </row>
    <row r="648" spans="1:12">
      <c r="A648" t="s">
        <v>1075</v>
      </c>
      <c r="B648" t="s">
        <v>1076</v>
      </c>
      <c r="C648" s="1">
        <v>46249</v>
      </c>
      <c r="D648" t="s">
        <v>115</v>
      </c>
      <c r="E648" t="s">
        <v>54</v>
      </c>
      <c r="F648" t="s">
        <v>34</v>
      </c>
      <c r="G648" t="s">
        <v>23</v>
      </c>
      <c r="H648">
        <v>1</v>
      </c>
      <c r="I648">
        <v>6800</v>
      </c>
      <c r="J648">
        <v>0.1</v>
      </c>
      <c r="K648">
        <v>6120</v>
      </c>
      <c r="L648" t="s">
        <v>142</v>
      </c>
    </row>
    <row r="649" spans="1:12">
      <c r="A649" t="s">
        <v>1077</v>
      </c>
      <c r="B649" t="s">
        <v>988</v>
      </c>
      <c r="C649" s="1">
        <v>46083</v>
      </c>
      <c r="D649" t="s">
        <v>100</v>
      </c>
      <c r="E649" t="s">
        <v>28</v>
      </c>
      <c r="F649" t="s">
        <v>16</v>
      </c>
      <c r="G649" t="s">
        <v>29</v>
      </c>
      <c r="H649">
        <v>1</v>
      </c>
      <c r="I649">
        <v>4200</v>
      </c>
      <c r="J649">
        <v>0.15</v>
      </c>
      <c r="K649">
        <v>3570</v>
      </c>
      <c r="L649" t="s">
        <v>18</v>
      </c>
    </row>
    <row r="650" spans="1:12">
      <c r="A650" t="s">
        <v>1078</v>
      </c>
      <c r="B650" t="s">
        <v>461</v>
      </c>
      <c r="C650" s="1">
        <v>46041</v>
      </c>
      <c r="D650" t="s">
        <v>77</v>
      </c>
      <c r="E650" t="s">
        <v>54</v>
      </c>
      <c r="F650" t="s">
        <v>16</v>
      </c>
      <c r="G650" t="s">
        <v>23</v>
      </c>
      <c r="H650">
        <v>3</v>
      </c>
      <c r="I650">
        <v>7200</v>
      </c>
      <c r="J650">
        <v>0</v>
      </c>
      <c r="K650">
        <v>21600</v>
      </c>
      <c r="L650" t="s">
        <v>113</v>
      </c>
    </row>
    <row r="651" spans="1:12">
      <c r="A651" t="s">
        <v>1079</v>
      </c>
      <c r="B651" t="s">
        <v>205</v>
      </c>
      <c r="C651" s="1">
        <v>46153</v>
      </c>
      <c r="D651" t="s">
        <v>389</v>
      </c>
      <c r="E651" t="s">
        <v>47</v>
      </c>
      <c r="F651" t="s">
        <v>34</v>
      </c>
      <c r="G651" t="s">
        <v>23</v>
      </c>
      <c r="H651">
        <v>1</v>
      </c>
      <c r="I651">
        <v>7400</v>
      </c>
      <c r="J651">
        <v>0.1</v>
      </c>
      <c r="K651">
        <v>6660</v>
      </c>
      <c r="L651" t="s">
        <v>113</v>
      </c>
    </row>
    <row r="652" spans="1:12">
      <c r="A652" t="s">
        <v>1080</v>
      </c>
      <c r="B652" t="s">
        <v>1081</v>
      </c>
      <c r="C652" s="1">
        <v>46126</v>
      </c>
      <c r="D652" t="s">
        <v>14</v>
      </c>
      <c r="E652" t="s">
        <v>15</v>
      </c>
      <c r="F652" t="s">
        <v>34</v>
      </c>
      <c r="G652" t="s">
        <v>23</v>
      </c>
      <c r="H652">
        <v>1</v>
      </c>
      <c r="I652">
        <v>7600</v>
      </c>
      <c r="J652">
        <v>0.05</v>
      </c>
      <c r="K652">
        <v>7220</v>
      </c>
      <c r="L652" t="s">
        <v>68</v>
      </c>
    </row>
    <row r="653" spans="1:12">
      <c r="A653" t="s">
        <v>1082</v>
      </c>
      <c r="B653" t="s">
        <v>496</v>
      </c>
      <c r="C653" s="1">
        <v>46114</v>
      </c>
      <c r="D653" t="s">
        <v>50</v>
      </c>
      <c r="E653" t="s">
        <v>28</v>
      </c>
      <c r="F653" t="s">
        <v>34</v>
      </c>
      <c r="G653" t="s">
        <v>17</v>
      </c>
      <c r="H653">
        <v>1</v>
      </c>
      <c r="I653">
        <v>6200</v>
      </c>
      <c r="J653">
        <v>0</v>
      </c>
      <c r="K653">
        <v>6200</v>
      </c>
      <c r="L653" t="s">
        <v>35</v>
      </c>
    </row>
    <row r="654" spans="1:12">
      <c r="A654" t="s">
        <v>1083</v>
      </c>
      <c r="B654" t="s">
        <v>1084</v>
      </c>
      <c r="C654" s="1">
        <v>46061</v>
      </c>
      <c r="D654" t="s">
        <v>71</v>
      </c>
      <c r="E654" t="s">
        <v>47</v>
      </c>
      <c r="F654" t="s">
        <v>16</v>
      </c>
      <c r="G654" t="s">
        <v>29</v>
      </c>
      <c r="H654">
        <v>2</v>
      </c>
      <c r="I654">
        <v>5600</v>
      </c>
      <c r="J654">
        <v>0.1</v>
      </c>
      <c r="K654">
        <v>10080</v>
      </c>
      <c r="L654" t="s">
        <v>68</v>
      </c>
    </row>
    <row r="655" spans="1:12">
      <c r="A655" t="s">
        <v>1085</v>
      </c>
      <c r="B655" t="s">
        <v>468</v>
      </c>
      <c r="C655" s="1">
        <v>46205</v>
      </c>
      <c r="D655" t="s">
        <v>53</v>
      </c>
      <c r="E655" t="s">
        <v>54</v>
      </c>
      <c r="F655" t="s">
        <v>34</v>
      </c>
      <c r="G655" t="s">
        <v>17</v>
      </c>
      <c r="H655">
        <v>1</v>
      </c>
      <c r="I655">
        <v>4500</v>
      </c>
      <c r="J655">
        <v>0.05</v>
      </c>
      <c r="K655">
        <v>4275</v>
      </c>
      <c r="L655" t="s">
        <v>24</v>
      </c>
    </row>
    <row r="656" spans="1:12">
      <c r="A656" t="s">
        <v>1086</v>
      </c>
      <c r="B656" t="s">
        <v>1087</v>
      </c>
      <c r="C656" s="1">
        <v>46230</v>
      </c>
      <c r="D656" t="s">
        <v>67</v>
      </c>
      <c r="E656" t="s">
        <v>54</v>
      </c>
      <c r="F656" t="s">
        <v>34</v>
      </c>
      <c r="G656" t="s">
        <v>23</v>
      </c>
      <c r="H656">
        <v>1</v>
      </c>
      <c r="I656">
        <v>2800</v>
      </c>
      <c r="J656">
        <v>0</v>
      </c>
      <c r="K656">
        <v>2800</v>
      </c>
      <c r="L656" t="s">
        <v>38</v>
      </c>
    </row>
    <row r="657" spans="1:12">
      <c r="A657" t="s">
        <v>1088</v>
      </c>
      <c r="B657" t="s">
        <v>798</v>
      </c>
      <c r="C657" s="1">
        <v>46107</v>
      </c>
      <c r="D657" t="s">
        <v>27</v>
      </c>
      <c r="E657" t="s">
        <v>28</v>
      </c>
      <c r="F657" t="s">
        <v>34</v>
      </c>
      <c r="G657" t="s">
        <v>23</v>
      </c>
      <c r="H657">
        <v>4</v>
      </c>
      <c r="I657">
        <v>3500</v>
      </c>
      <c r="J657">
        <v>0</v>
      </c>
      <c r="K657">
        <v>14000</v>
      </c>
      <c r="L657" t="s">
        <v>68</v>
      </c>
    </row>
    <row r="658" spans="1:12">
      <c r="A658" t="s">
        <v>1089</v>
      </c>
      <c r="B658" t="s">
        <v>314</v>
      </c>
      <c r="C658" s="1">
        <v>46107</v>
      </c>
      <c r="D658" t="s">
        <v>112</v>
      </c>
      <c r="E658" t="s">
        <v>15</v>
      </c>
      <c r="F658" t="s">
        <v>34</v>
      </c>
      <c r="G658" t="s">
        <v>17</v>
      </c>
      <c r="H658">
        <v>3</v>
      </c>
      <c r="I658">
        <v>3200</v>
      </c>
      <c r="J658">
        <v>0</v>
      </c>
      <c r="K658">
        <v>9600</v>
      </c>
      <c r="L658" t="s">
        <v>123</v>
      </c>
    </row>
    <row r="659" spans="1:12">
      <c r="A659" t="s">
        <v>1090</v>
      </c>
      <c r="B659" t="s">
        <v>360</v>
      </c>
      <c r="C659" s="1">
        <v>46286</v>
      </c>
      <c r="D659" t="s">
        <v>33</v>
      </c>
      <c r="E659" t="s">
        <v>28</v>
      </c>
      <c r="F659" t="s">
        <v>34</v>
      </c>
      <c r="G659" t="s">
        <v>29</v>
      </c>
      <c r="H659">
        <v>1</v>
      </c>
      <c r="I659">
        <v>8500</v>
      </c>
      <c r="J659">
        <v>0.1</v>
      </c>
      <c r="K659">
        <v>7650</v>
      </c>
      <c r="L659" t="s">
        <v>64</v>
      </c>
    </row>
    <row r="660" spans="1:12">
      <c r="A660" t="s">
        <v>1091</v>
      </c>
      <c r="B660" t="s">
        <v>195</v>
      </c>
      <c r="C660" s="1">
        <v>46287</v>
      </c>
      <c r="D660" t="s">
        <v>27</v>
      </c>
      <c r="E660" t="s">
        <v>28</v>
      </c>
      <c r="F660" t="s">
        <v>16</v>
      </c>
      <c r="G660" t="s">
        <v>17</v>
      </c>
      <c r="H660">
        <v>1</v>
      </c>
      <c r="I660">
        <v>3500</v>
      </c>
      <c r="J660">
        <v>0.1</v>
      </c>
      <c r="K660">
        <v>3150</v>
      </c>
      <c r="L660" t="s">
        <v>72</v>
      </c>
    </row>
    <row r="661" spans="1:12">
      <c r="A661" t="s">
        <v>1092</v>
      </c>
      <c r="B661" t="s">
        <v>134</v>
      </c>
      <c r="C661" s="1">
        <v>46040</v>
      </c>
      <c r="D661" t="s">
        <v>60</v>
      </c>
      <c r="E661" t="s">
        <v>28</v>
      </c>
      <c r="F661" t="s">
        <v>34</v>
      </c>
      <c r="G661" t="s">
        <v>17</v>
      </c>
      <c r="H661">
        <v>3</v>
      </c>
      <c r="I661">
        <v>12800</v>
      </c>
      <c r="J661">
        <v>0</v>
      </c>
      <c r="K661">
        <v>38400</v>
      </c>
      <c r="L661" t="s">
        <v>113</v>
      </c>
    </row>
    <row r="662" spans="1:12">
      <c r="A662" t="s">
        <v>1093</v>
      </c>
      <c r="B662" t="s">
        <v>374</v>
      </c>
      <c r="C662" s="1">
        <v>46294</v>
      </c>
      <c r="D662" t="s">
        <v>103</v>
      </c>
      <c r="E662" t="s">
        <v>47</v>
      </c>
      <c r="F662" t="s">
        <v>34</v>
      </c>
      <c r="G662" t="s">
        <v>17</v>
      </c>
      <c r="H662">
        <v>1</v>
      </c>
      <c r="I662">
        <v>3800</v>
      </c>
      <c r="J662">
        <v>0.15</v>
      </c>
      <c r="K662">
        <v>3230</v>
      </c>
      <c r="L662" t="s">
        <v>64</v>
      </c>
    </row>
    <row r="663" spans="1:12">
      <c r="A663" t="s">
        <v>1094</v>
      </c>
      <c r="B663" t="s">
        <v>1095</v>
      </c>
      <c r="C663" s="1">
        <v>46048</v>
      </c>
      <c r="D663" t="s">
        <v>53</v>
      </c>
      <c r="E663" t="s">
        <v>54</v>
      </c>
      <c r="F663" t="s">
        <v>34</v>
      </c>
      <c r="G663" t="s">
        <v>29</v>
      </c>
      <c r="H663">
        <v>1</v>
      </c>
      <c r="I663">
        <v>4500</v>
      </c>
      <c r="J663">
        <v>0</v>
      </c>
      <c r="K663">
        <v>4500</v>
      </c>
      <c r="L663" t="s">
        <v>97</v>
      </c>
    </row>
    <row r="664" spans="1:12">
      <c r="A664" t="s">
        <v>1096</v>
      </c>
      <c r="B664" t="s">
        <v>1097</v>
      </c>
      <c r="C664" s="1">
        <v>46119</v>
      </c>
      <c r="D664" t="s">
        <v>88</v>
      </c>
      <c r="E664" t="s">
        <v>15</v>
      </c>
      <c r="F664" t="s">
        <v>16</v>
      </c>
      <c r="G664" t="s">
        <v>17</v>
      </c>
      <c r="H664">
        <v>1</v>
      </c>
      <c r="I664">
        <v>4800</v>
      </c>
      <c r="J664">
        <v>0.1</v>
      </c>
      <c r="K664">
        <v>4320</v>
      </c>
      <c r="L664" t="s">
        <v>68</v>
      </c>
    </row>
    <row r="665" spans="1:12">
      <c r="A665" t="s">
        <v>1098</v>
      </c>
      <c r="B665" t="s">
        <v>719</v>
      </c>
      <c r="C665" s="1">
        <v>46252</v>
      </c>
      <c r="D665" t="s">
        <v>77</v>
      </c>
      <c r="E665" t="s">
        <v>54</v>
      </c>
      <c r="F665" t="s">
        <v>34</v>
      </c>
      <c r="G665" t="s">
        <v>17</v>
      </c>
      <c r="H665">
        <v>1</v>
      </c>
      <c r="I665">
        <v>7200</v>
      </c>
      <c r="J665">
        <v>0.1</v>
      </c>
      <c r="K665">
        <v>6480</v>
      </c>
      <c r="L665" t="s">
        <v>72</v>
      </c>
    </row>
    <row r="666" spans="1:12">
      <c r="A666" t="s">
        <v>1099</v>
      </c>
      <c r="B666" t="s">
        <v>577</v>
      </c>
      <c r="C666" s="1">
        <v>46079</v>
      </c>
      <c r="D666" t="s">
        <v>96</v>
      </c>
      <c r="E666" t="s">
        <v>22</v>
      </c>
      <c r="F666" t="s">
        <v>34</v>
      </c>
      <c r="G666" t="s">
        <v>29</v>
      </c>
      <c r="H666">
        <v>3</v>
      </c>
      <c r="I666">
        <v>3200</v>
      </c>
      <c r="J666">
        <v>0</v>
      </c>
      <c r="K666">
        <v>9600</v>
      </c>
      <c r="L666" t="s">
        <v>35</v>
      </c>
    </row>
    <row r="667" spans="1:12">
      <c r="A667" t="s">
        <v>1100</v>
      </c>
      <c r="B667" t="s">
        <v>1101</v>
      </c>
      <c r="C667" s="1">
        <v>46208</v>
      </c>
      <c r="D667" t="s">
        <v>14</v>
      </c>
      <c r="E667" t="s">
        <v>15</v>
      </c>
      <c r="F667" t="s">
        <v>34</v>
      </c>
      <c r="G667" t="s">
        <v>17</v>
      </c>
      <c r="H667">
        <v>2</v>
      </c>
      <c r="I667">
        <v>7600</v>
      </c>
      <c r="J667">
        <v>0</v>
      </c>
      <c r="K667">
        <v>15200</v>
      </c>
      <c r="L667" t="s">
        <v>24</v>
      </c>
    </row>
    <row r="668" spans="1:12">
      <c r="A668" t="s">
        <v>1102</v>
      </c>
      <c r="B668" t="s">
        <v>633</v>
      </c>
      <c r="C668" s="1">
        <v>46129</v>
      </c>
      <c r="D668" t="s">
        <v>60</v>
      </c>
      <c r="E668" t="s">
        <v>28</v>
      </c>
      <c r="F668" t="s">
        <v>34</v>
      </c>
      <c r="G668" t="s">
        <v>17</v>
      </c>
      <c r="H668">
        <v>1</v>
      </c>
      <c r="I668">
        <v>12800</v>
      </c>
      <c r="J668">
        <v>0.1</v>
      </c>
      <c r="K668">
        <v>11520</v>
      </c>
      <c r="L668" t="s">
        <v>35</v>
      </c>
    </row>
    <row r="669" spans="1:12">
      <c r="A669" t="s">
        <v>1103</v>
      </c>
      <c r="B669" t="s">
        <v>325</v>
      </c>
      <c r="C669" s="1">
        <v>46033</v>
      </c>
      <c r="D669" t="s">
        <v>118</v>
      </c>
      <c r="E669" t="s">
        <v>47</v>
      </c>
      <c r="F669" t="s">
        <v>34</v>
      </c>
      <c r="G669" t="s">
        <v>29</v>
      </c>
      <c r="H669">
        <v>1</v>
      </c>
      <c r="I669">
        <v>4100</v>
      </c>
      <c r="J669">
        <v>0.1</v>
      </c>
      <c r="K669">
        <v>3690</v>
      </c>
      <c r="L669" t="s">
        <v>72</v>
      </c>
    </row>
    <row r="670" spans="1:12">
      <c r="A670" t="s">
        <v>1104</v>
      </c>
      <c r="B670" t="s">
        <v>621</v>
      </c>
      <c r="C670" s="1">
        <v>46111</v>
      </c>
      <c r="D670" t="s">
        <v>41</v>
      </c>
      <c r="E670" t="s">
        <v>15</v>
      </c>
      <c r="F670" t="s">
        <v>34</v>
      </c>
      <c r="G670" t="s">
        <v>17</v>
      </c>
      <c r="H670">
        <v>1</v>
      </c>
      <c r="I670">
        <v>5400</v>
      </c>
      <c r="J670">
        <v>0.05</v>
      </c>
      <c r="K670">
        <v>5130</v>
      </c>
      <c r="L670" t="s">
        <v>135</v>
      </c>
    </row>
    <row r="671" spans="1:12">
      <c r="A671" t="s">
        <v>1105</v>
      </c>
      <c r="B671" t="s">
        <v>251</v>
      </c>
      <c r="C671" s="1">
        <v>46157</v>
      </c>
      <c r="D671" t="s">
        <v>112</v>
      </c>
      <c r="E671" t="s">
        <v>15</v>
      </c>
      <c r="F671" t="s">
        <v>34</v>
      </c>
      <c r="G671" t="s">
        <v>29</v>
      </c>
      <c r="H671">
        <v>1</v>
      </c>
      <c r="I671">
        <v>3200</v>
      </c>
      <c r="J671">
        <v>0.15</v>
      </c>
      <c r="K671">
        <v>2720</v>
      </c>
      <c r="L671" t="s">
        <v>24</v>
      </c>
    </row>
    <row r="672" spans="1:12">
      <c r="A672" t="s">
        <v>1106</v>
      </c>
      <c r="B672" t="s">
        <v>150</v>
      </c>
      <c r="C672" s="1">
        <v>46173</v>
      </c>
      <c r="D672" t="s">
        <v>14</v>
      </c>
      <c r="E672" t="s">
        <v>15</v>
      </c>
      <c r="F672" t="s">
        <v>34</v>
      </c>
      <c r="G672" t="s">
        <v>23</v>
      </c>
      <c r="H672">
        <v>1</v>
      </c>
      <c r="I672">
        <v>7600</v>
      </c>
      <c r="J672">
        <v>0</v>
      </c>
      <c r="K672">
        <v>7600</v>
      </c>
      <c r="L672" t="s">
        <v>61</v>
      </c>
    </row>
    <row r="673" spans="1:12">
      <c r="A673" t="s">
        <v>1107</v>
      </c>
      <c r="B673" t="s">
        <v>1108</v>
      </c>
      <c r="C673" s="1">
        <v>46168</v>
      </c>
      <c r="D673" t="s">
        <v>112</v>
      </c>
      <c r="E673" t="s">
        <v>15</v>
      </c>
      <c r="F673" t="s">
        <v>16</v>
      </c>
      <c r="G673" t="s">
        <v>17</v>
      </c>
      <c r="H673">
        <v>1</v>
      </c>
      <c r="I673">
        <v>3200</v>
      </c>
      <c r="J673">
        <v>0.05</v>
      </c>
      <c r="K673">
        <v>3040</v>
      </c>
      <c r="L673" t="s">
        <v>38</v>
      </c>
    </row>
    <row r="674" spans="1:12">
      <c r="A674" t="s">
        <v>1109</v>
      </c>
      <c r="B674" t="s">
        <v>1110</v>
      </c>
      <c r="C674" s="1">
        <v>46206</v>
      </c>
      <c r="D674" t="s">
        <v>67</v>
      </c>
      <c r="E674" t="s">
        <v>54</v>
      </c>
      <c r="F674" t="s">
        <v>34</v>
      </c>
      <c r="G674" t="s">
        <v>17</v>
      </c>
      <c r="H674">
        <v>2</v>
      </c>
      <c r="I674">
        <v>2800</v>
      </c>
      <c r="J674">
        <v>0.1</v>
      </c>
      <c r="K674">
        <v>5040</v>
      </c>
      <c r="L674" t="s">
        <v>113</v>
      </c>
    </row>
    <row r="675" spans="1:12">
      <c r="A675" t="s">
        <v>1111</v>
      </c>
      <c r="B675" t="s">
        <v>107</v>
      </c>
      <c r="C675" s="1">
        <v>46031</v>
      </c>
      <c r="D675" t="s">
        <v>77</v>
      </c>
      <c r="E675" t="s">
        <v>54</v>
      </c>
      <c r="F675" t="s">
        <v>16</v>
      </c>
      <c r="G675" t="s">
        <v>29</v>
      </c>
      <c r="H675">
        <v>1</v>
      </c>
      <c r="I675">
        <v>7200</v>
      </c>
      <c r="J675">
        <v>0</v>
      </c>
      <c r="K675">
        <v>7200</v>
      </c>
      <c r="L675" t="s">
        <v>85</v>
      </c>
    </row>
    <row r="676" spans="1:12">
      <c r="A676" t="s">
        <v>1112</v>
      </c>
      <c r="B676" t="s">
        <v>164</v>
      </c>
      <c r="C676" s="1">
        <v>46262</v>
      </c>
      <c r="D676" t="s">
        <v>91</v>
      </c>
      <c r="E676" t="s">
        <v>22</v>
      </c>
      <c r="F676" t="s">
        <v>16</v>
      </c>
      <c r="G676" t="s">
        <v>17</v>
      </c>
      <c r="H676">
        <v>1</v>
      </c>
      <c r="I676">
        <v>11500</v>
      </c>
      <c r="J676">
        <v>0.1</v>
      </c>
      <c r="K676">
        <v>10350</v>
      </c>
      <c r="L676" t="s">
        <v>97</v>
      </c>
    </row>
    <row r="677" spans="1:12">
      <c r="A677" t="s">
        <v>1113</v>
      </c>
      <c r="B677" t="s">
        <v>146</v>
      </c>
      <c r="C677" s="1">
        <v>46270</v>
      </c>
      <c r="D677" t="s">
        <v>33</v>
      </c>
      <c r="E677" t="s">
        <v>28</v>
      </c>
      <c r="F677" t="s">
        <v>34</v>
      </c>
      <c r="G677" t="s">
        <v>23</v>
      </c>
      <c r="H677">
        <v>2</v>
      </c>
      <c r="I677">
        <v>8500</v>
      </c>
      <c r="J677">
        <v>0.05</v>
      </c>
      <c r="K677">
        <v>16150</v>
      </c>
      <c r="L677" t="s">
        <v>113</v>
      </c>
    </row>
    <row r="678" spans="1:12">
      <c r="A678" t="s">
        <v>1114</v>
      </c>
      <c r="B678" t="s">
        <v>1076</v>
      </c>
      <c r="C678" s="1">
        <v>46179</v>
      </c>
      <c r="D678" t="s">
        <v>91</v>
      </c>
      <c r="E678" t="s">
        <v>22</v>
      </c>
      <c r="F678" t="s">
        <v>34</v>
      </c>
      <c r="G678" t="s">
        <v>17</v>
      </c>
      <c r="H678">
        <v>2</v>
      </c>
      <c r="I678">
        <v>11500</v>
      </c>
      <c r="J678">
        <v>0.15</v>
      </c>
      <c r="K678">
        <v>19550</v>
      </c>
      <c r="L678" t="s">
        <v>123</v>
      </c>
    </row>
    <row r="679" spans="1:12">
      <c r="A679" t="s">
        <v>1115</v>
      </c>
      <c r="B679" t="s">
        <v>757</v>
      </c>
      <c r="C679" s="1">
        <v>46250</v>
      </c>
      <c r="D679" t="s">
        <v>53</v>
      </c>
      <c r="E679" t="s">
        <v>54</v>
      </c>
      <c r="F679" t="s">
        <v>16</v>
      </c>
      <c r="G679" t="s">
        <v>29</v>
      </c>
      <c r="H679">
        <v>1</v>
      </c>
      <c r="I679">
        <v>4500</v>
      </c>
      <c r="J679">
        <v>0.05</v>
      </c>
      <c r="K679">
        <v>4275</v>
      </c>
      <c r="L679" t="s">
        <v>97</v>
      </c>
    </row>
    <row r="680" spans="1:12">
      <c r="A680" t="s">
        <v>1116</v>
      </c>
      <c r="B680" t="s">
        <v>176</v>
      </c>
      <c r="C680" s="1">
        <v>46098</v>
      </c>
      <c r="D680" t="s">
        <v>14</v>
      </c>
      <c r="E680" t="s">
        <v>15</v>
      </c>
      <c r="F680" t="s">
        <v>16</v>
      </c>
      <c r="G680" t="s">
        <v>29</v>
      </c>
      <c r="H680">
        <v>2</v>
      </c>
      <c r="I680">
        <v>7600</v>
      </c>
      <c r="J680">
        <v>0.05</v>
      </c>
      <c r="K680">
        <v>14440</v>
      </c>
      <c r="L680" t="s">
        <v>61</v>
      </c>
    </row>
    <row r="681" spans="1:12">
      <c r="A681" t="s">
        <v>1117</v>
      </c>
      <c r="B681" t="s">
        <v>1118</v>
      </c>
      <c r="C681" s="1">
        <v>46282</v>
      </c>
      <c r="D681" t="s">
        <v>103</v>
      </c>
      <c r="E681" t="s">
        <v>47</v>
      </c>
      <c r="F681" t="s">
        <v>34</v>
      </c>
      <c r="G681" t="s">
        <v>17</v>
      </c>
      <c r="H681">
        <v>1</v>
      </c>
      <c r="I681">
        <v>3800</v>
      </c>
      <c r="J681">
        <v>0.1</v>
      </c>
      <c r="K681">
        <v>3420</v>
      </c>
      <c r="L681" t="s">
        <v>123</v>
      </c>
    </row>
    <row r="682" spans="1:12">
      <c r="A682" t="s">
        <v>1119</v>
      </c>
      <c r="B682" t="s">
        <v>63</v>
      </c>
      <c r="C682" s="1">
        <v>46282</v>
      </c>
      <c r="D682" t="s">
        <v>41</v>
      </c>
      <c r="E682" t="s">
        <v>15</v>
      </c>
      <c r="F682" t="s">
        <v>34</v>
      </c>
      <c r="G682" t="s">
        <v>23</v>
      </c>
      <c r="H682">
        <v>1</v>
      </c>
      <c r="I682">
        <v>5400</v>
      </c>
      <c r="J682">
        <v>0.05</v>
      </c>
      <c r="K682">
        <v>5130</v>
      </c>
      <c r="L682" t="s">
        <v>72</v>
      </c>
    </row>
    <row r="683" spans="1:12">
      <c r="A683" t="s">
        <v>1120</v>
      </c>
      <c r="B683" t="s">
        <v>1121</v>
      </c>
      <c r="C683" s="1">
        <v>46079</v>
      </c>
      <c r="D683" t="s">
        <v>14</v>
      </c>
      <c r="E683" t="s">
        <v>15</v>
      </c>
      <c r="F683" t="s">
        <v>34</v>
      </c>
      <c r="G683" t="s">
        <v>29</v>
      </c>
      <c r="H683">
        <v>1</v>
      </c>
      <c r="I683">
        <v>7600</v>
      </c>
      <c r="J683">
        <v>0</v>
      </c>
      <c r="K683">
        <v>7600</v>
      </c>
      <c r="L683" t="s">
        <v>61</v>
      </c>
    </row>
    <row r="684" spans="1:12">
      <c r="A684" t="s">
        <v>1122</v>
      </c>
      <c r="B684" t="s">
        <v>1123</v>
      </c>
      <c r="C684" s="1">
        <v>46037</v>
      </c>
      <c r="D684" t="s">
        <v>53</v>
      </c>
      <c r="E684" t="s">
        <v>54</v>
      </c>
      <c r="F684" t="s">
        <v>16</v>
      </c>
      <c r="G684" t="s">
        <v>17</v>
      </c>
      <c r="H684">
        <v>1</v>
      </c>
      <c r="I684">
        <v>4500</v>
      </c>
      <c r="J684">
        <v>0.15</v>
      </c>
      <c r="K684">
        <v>3825</v>
      </c>
      <c r="L684" t="s">
        <v>72</v>
      </c>
    </row>
    <row r="685" spans="1:12">
      <c r="A685" t="s">
        <v>1124</v>
      </c>
      <c r="B685" t="s">
        <v>1125</v>
      </c>
      <c r="C685" s="1">
        <v>46148</v>
      </c>
      <c r="D685" t="s">
        <v>41</v>
      </c>
      <c r="E685" t="s">
        <v>15</v>
      </c>
      <c r="F685" t="s">
        <v>16</v>
      </c>
      <c r="G685" t="s">
        <v>23</v>
      </c>
      <c r="H685">
        <v>1</v>
      </c>
      <c r="I685">
        <v>5400</v>
      </c>
      <c r="J685">
        <v>0</v>
      </c>
      <c r="K685">
        <v>5400</v>
      </c>
      <c r="L685" t="s">
        <v>113</v>
      </c>
    </row>
    <row r="686" spans="1:12">
      <c r="A686" t="s">
        <v>1126</v>
      </c>
      <c r="B686" t="s">
        <v>356</v>
      </c>
      <c r="C686" s="1">
        <v>46215</v>
      </c>
      <c r="D686" t="s">
        <v>84</v>
      </c>
      <c r="E686" t="s">
        <v>22</v>
      </c>
      <c r="F686" t="s">
        <v>34</v>
      </c>
      <c r="G686" t="s">
        <v>17</v>
      </c>
      <c r="H686">
        <v>1</v>
      </c>
      <c r="I686">
        <v>8900</v>
      </c>
      <c r="J686">
        <v>0</v>
      </c>
      <c r="K686">
        <v>8900</v>
      </c>
      <c r="L686" t="s">
        <v>85</v>
      </c>
    </row>
    <row r="687" spans="1:12">
      <c r="A687" t="s">
        <v>1127</v>
      </c>
      <c r="B687" t="s">
        <v>529</v>
      </c>
      <c r="C687" s="1">
        <v>46215</v>
      </c>
      <c r="D687" t="s">
        <v>46</v>
      </c>
      <c r="E687" t="s">
        <v>47</v>
      </c>
      <c r="F687" t="s">
        <v>16</v>
      </c>
      <c r="G687" t="s">
        <v>17</v>
      </c>
      <c r="H687">
        <v>3</v>
      </c>
      <c r="I687">
        <v>9200</v>
      </c>
      <c r="J687">
        <v>0.1</v>
      </c>
      <c r="K687">
        <v>24840</v>
      </c>
      <c r="L687" t="s">
        <v>18</v>
      </c>
    </row>
    <row r="688" spans="1:12">
      <c r="A688" t="s">
        <v>1128</v>
      </c>
      <c r="B688" t="s">
        <v>193</v>
      </c>
      <c r="C688" s="1">
        <v>46241</v>
      </c>
      <c r="D688" t="s">
        <v>60</v>
      </c>
      <c r="E688" t="s">
        <v>28</v>
      </c>
      <c r="F688" t="s">
        <v>16</v>
      </c>
      <c r="G688" t="s">
        <v>17</v>
      </c>
      <c r="H688">
        <v>1</v>
      </c>
      <c r="I688">
        <v>12800</v>
      </c>
      <c r="J688">
        <v>0.05</v>
      </c>
      <c r="K688">
        <v>12160</v>
      </c>
      <c r="L688" t="s">
        <v>113</v>
      </c>
    </row>
    <row r="689" spans="1:12">
      <c r="A689" t="s">
        <v>1129</v>
      </c>
      <c r="B689" t="s">
        <v>1108</v>
      </c>
      <c r="C689" s="1">
        <v>46052</v>
      </c>
      <c r="D689" t="s">
        <v>33</v>
      </c>
      <c r="E689" t="s">
        <v>28</v>
      </c>
      <c r="F689" t="s">
        <v>16</v>
      </c>
      <c r="G689" t="s">
        <v>29</v>
      </c>
      <c r="H689">
        <v>1</v>
      </c>
      <c r="I689">
        <v>8500</v>
      </c>
      <c r="J689">
        <v>0.1</v>
      </c>
      <c r="K689">
        <v>7650</v>
      </c>
      <c r="L689" t="s">
        <v>64</v>
      </c>
    </row>
    <row r="690" spans="1:12">
      <c r="A690" t="s">
        <v>1130</v>
      </c>
      <c r="B690" t="s">
        <v>290</v>
      </c>
      <c r="C690" s="1">
        <v>46103</v>
      </c>
      <c r="D690" t="s">
        <v>53</v>
      </c>
      <c r="E690" t="s">
        <v>54</v>
      </c>
      <c r="F690" t="s">
        <v>16</v>
      </c>
      <c r="G690" t="s">
        <v>17</v>
      </c>
      <c r="H690">
        <v>1</v>
      </c>
      <c r="I690">
        <v>4500</v>
      </c>
      <c r="J690">
        <v>0.15</v>
      </c>
      <c r="K690">
        <v>3825</v>
      </c>
      <c r="L690" t="s">
        <v>97</v>
      </c>
    </row>
    <row r="691" spans="1:12">
      <c r="A691" t="s">
        <v>1131</v>
      </c>
      <c r="B691" t="s">
        <v>162</v>
      </c>
      <c r="C691" s="1">
        <v>46167</v>
      </c>
      <c r="D691" t="s">
        <v>14</v>
      </c>
      <c r="E691" t="s">
        <v>15</v>
      </c>
      <c r="F691" t="s">
        <v>16</v>
      </c>
      <c r="G691" t="s">
        <v>23</v>
      </c>
      <c r="H691">
        <v>2</v>
      </c>
      <c r="I691">
        <v>7600</v>
      </c>
      <c r="J691">
        <v>0</v>
      </c>
      <c r="K691">
        <v>15200</v>
      </c>
      <c r="L691" t="s">
        <v>38</v>
      </c>
    </row>
    <row r="692" spans="1:12">
      <c r="A692" t="s">
        <v>1132</v>
      </c>
      <c r="B692" t="s">
        <v>1133</v>
      </c>
      <c r="C692" s="1">
        <v>46269</v>
      </c>
      <c r="D692" t="s">
        <v>50</v>
      </c>
      <c r="E692" t="s">
        <v>28</v>
      </c>
      <c r="F692" t="s">
        <v>34</v>
      </c>
      <c r="G692" t="s">
        <v>23</v>
      </c>
      <c r="H692">
        <v>1</v>
      </c>
      <c r="I692">
        <v>6200</v>
      </c>
      <c r="J692">
        <v>0</v>
      </c>
      <c r="K692">
        <v>6200</v>
      </c>
      <c r="L692" t="s">
        <v>64</v>
      </c>
    </row>
    <row r="693" spans="1:12">
      <c r="A693" t="s">
        <v>1134</v>
      </c>
      <c r="B693" t="s">
        <v>984</v>
      </c>
      <c r="C693" s="1">
        <v>46096</v>
      </c>
      <c r="D693" t="s">
        <v>91</v>
      </c>
      <c r="E693" t="s">
        <v>22</v>
      </c>
      <c r="F693" t="s">
        <v>16</v>
      </c>
      <c r="G693" t="s">
        <v>23</v>
      </c>
      <c r="H693">
        <v>2</v>
      </c>
      <c r="I693">
        <v>11500</v>
      </c>
      <c r="J693">
        <v>0</v>
      </c>
      <c r="K693">
        <v>23000</v>
      </c>
      <c r="L693" t="s">
        <v>61</v>
      </c>
    </row>
    <row r="694" spans="1:12">
      <c r="A694" t="s">
        <v>1135</v>
      </c>
      <c r="B694" t="s">
        <v>139</v>
      </c>
      <c r="C694" s="1">
        <v>46058</v>
      </c>
      <c r="D694" t="s">
        <v>67</v>
      </c>
      <c r="E694" t="s">
        <v>54</v>
      </c>
      <c r="F694" t="s">
        <v>34</v>
      </c>
      <c r="G694" t="s">
        <v>29</v>
      </c>
      <c r="H694">
        <v>2</v>
      </c>
      <c r="I694">
        <v>2800</v>
      </c>
      <c r="J694">
        <v>0.15</v>
      </c>
      <c r="K694">
        <v>4760</v>
      </c>
      <c r="L694" t="s">
        <v>35</v>
      </c>
    </row>
    <row r="695" spans="1:12">
      <c r="A695" t="s">
        <v>1136</v>
      </c>
      <c r="B695" t="s">
        <v>81</v>
      </c>
      <c r="C695" s="1">
        <v>46189</v>
      </c>
      <c r="D695" t="s">
        <v>389</v>
      </c>
      <c r="E695" t="s">
        <v>47</v>
      </c>
      <c r="F695" t="s">
        <v>34</v>
      </c>
      <c r="G695" t="s">
        <v>17</v>
      </c>
      <c r="H695">
        <v>2</v>
      </c>
      <c r="I695">
        <v>7400</v>
      </c>
      <c r="J695">
        <v>0</v>
      </c>
      <c r="K695">
        <v>14800</v>
      </c>
      <c r="L695" t="s">
        <v>30</v>
      </c>
    </row>
    <row r="696" spans="1:12">
      <c r="A696" t="s">
        <v>1137</v>
      </c>
      <c r="B696" t="s">
        <v>1138</v>
      </c>
      <c r="C696" s="1">
        <v>46143</v>
      </c>
      <c r="D696" t="s">
        <v>21</v>
      </c>
      <c r="E696" t="s">
        <v>22</v>
      </c>
      <c r="F696" t="s">
        <v>34</v>
      </c>
      <c r="G696" t="s">
        <v>29</v>
      </c>
      <c r="H696">
        <v>2</v>
      </c>
      <c r="I696">
        <v>7600</v>
      </c>
      <c r="J696">
        <v>0.1</v>
      </c>
      <c r="K696">
        <v>13680</v>
      </c>
      <c r="L696" t="s">
        <v>61</v>
      </c>
    </row>
    <row r="697" spans="1:12">
      <c r="A697" t="s">
        <v>1139</v>
      </c>
      <c r="B697" t="s">
        <v>330</v>
      </c>
      <c r="C697" s="1">
        <v>46236</v>
      </c>
      <c r="D697" t="s">
        <v>183</v>
      </c>
      <c r="E697" t="s">
        <v>15</v>
      </c>
      <c r="F697" t="s">
        <v>34</v>
      </c>
      <c r="G697" t="s">
        <v>17</v>
      </c>
      <c r="H697">
        <v>2</v>
      </c>
      <c r="I697">
        <v>9800</v>
      </c>
      <c r="J697">
        <v>0.05</v>
      </c>
      <c r="K697">
        <v>18620</v>
      </c>
      <c r="L697" t="s">
        <v>35</v>
      </c>
    </row>
    <row r="698" spans="1:12">
      <c r="A698" t="s">
        <v>1140</v>
      </c>
      <c r="B698" t="s">
        <v>1097</v>
      </c>
      <c r="C698" s="1">
        <v>46159</v>
      </c>
      <c r="D698" t="s">
        <v>27</v>
      </c>
      <c r="E698" t="s">
        <v>28</v>
      </c>
      <c r="F698" t="s">
        <v>16</v>
      </c>
      <c r="G698" t="s">
        <v>17</v>
      </c>
      <c r="H698">
        <v>2</v>
      </c>
      <c r="I698">
        <v>3500</v>
      </c>
      <c r="J698">
        <v>0.05</v>
      </c>
      <c r="K698">
        <v>6650</v>
      </c>
      <c r="L698" t="s">
        <v>97</v>
      </c>
    </row>
    <row r="699" spans="1:12">
      <c r="A699" t="s">
        <v>1141</v>
      </c>
      <c r="B699" t="s">
        <v>886</v>
      </c>
      <c r="C699" s="1">
        <v>46205</v>
      </c>
      <c r="D699" t="s">
        <v>14</v>
      </c>
      <c r="E699" t="s">
        <v>15</v>
      </c>
      <c r="F699" t="s">
        <v>16</v>
      </c>
      <c r="G699" t="s">
        <v>23</v>
      </c>
      <c r="H699">
        <v>1</v>
      </c>
      <c r="I699">
        <v>7600</v>
      </c>
      <c r="J699">
        <v>0.1</v>
      </c>
      <c r="K699">
        <v>6840</v>
      </c>
      <c r="L699" t="s">
        <v>123</v>
      </c>
    </row>
    <row r="700" spans="1:12">
      <c r="A700" t="s">
        <v>1142</v>
      </c>
      <c r="B700" t="s">
        <v>874</v>
      </c>
      <c r="C700" s="1">
        <v>46090</v>
      </c>
      <c r="D700" t="s">
        <v>33</v>
      </c>
      <c r="E700" t="s">
        <v>28</v>
      </c>
      <c r="F700" t="s">
        <v>16</v>
      </c>
      <c r="G700" t="s">
        <v>17</v>
      </c>
      <c r="H700">
        <v>2</v>
      </c>
      <c r="I700">
        <v>8500</v>
      </c>
      <c r="J700">
        <v>0.1</v>
      </c>
      <c r="K700">
        <v>15300</v>
      </c>
      <c r="L700" t="s">
        <v>64</v>
      </c>
    </row>
    <row r="701" spans="1:12">
      <c r="A701" t="s">
        <v>1143</v>
      </c>
      <c r="B701" t="s">
        <v>619</v>
      </c>
      <c r="C701" s="1">
        <v>46043</v>
      </c>
      <c r="D701" t="s">
        <v>53</v>
      </c>
      <c r="E701" t="s">
        <v>54</v>
      </c>
      <c r="F701" t="s">
        <v>16</v>
      </c>
      <c r="G701" t="s">
        <v>17</v>
      </c>
      <c r="H701">
        <v>1</v>
      </c>
      <c r="I701">
        <v>4500</v>
      </c>
      <c r="J701">
        <v>0</v>
      </c>
      <c r="K701">
        <v>4500</v>
      </c>
      <c r="L701" t="s">
        <v>18</v>
      </c>
    </row>
    <row r="702" spans="1:12">
      <c r="A702" t="s">
        <v>1144</v>
      </c>
      <c r="B702" t="s">
        <v>344</v>
      </c>
      <c r="C702" s="1">
        <v>46065</v>
      </c>
      <c r="D702" t="s">
        <v>96</v>
      </c>
      <c r="E702" t="s">
        <v>22</v>
      </c>
      <c r="F702" t="s">
        <v>16</v>
      </c>
      <c r="G702" t="s">
        <v>17</v>
      </c>
      <c r="H702">
        <v>4</v>
      </c>
      <c r="I702">
        <v>3200</v>
      </c>
      <c r="J702">
        <v>0.1</v>
      </c>
      <c r="K702">
        <v>11520</v>
      </c>
      <c r="L702" t="s">
        <v>24</v>
      </c>
    </row>
    <row r="703" spans="1:12">
      <c r="A703" t="s">
        <v>1145</v>
      </c>
      <c r="B703" t="s">
        <v>654</v>
      </c>
      <c r="C703" s="1">
        <v>46237</v>
      </c>
      <c r="D703" t="s">
        <v>100</v>
      </c>
      <c r="E703" t="s">
        <v>28</v>
      </c>
      <c r="F703" t="s">
        <v>16</v>
      </c>
      <c r="G703" t="s">
        <v>17</v>
      </c>
      <c r="H703">
        <v>1</v>
      </c>
      <c r="I703">
        <v>4200</v>
      </c>
      <c r="J703">
        <v>0.05</v>
      </c>
      <c r="K703">
        <v>3990</v>
      </c>
      <c r="L703" t="s">
        <v>18</v>
      </c>
    </row>
    <row r="704" spans="1:12">
      <c r="A704" t="s">
        <v>1146</v>
      </c>
      <c r="B704" t="s">
        <v>420</v>
      </c>
      <c r="C704" s="1">
        <v>46088</v>
      </c>
      <c r="D704" t="s">
        <v>115</v>
      </c>
      <c r="E704" t="s">
        <v>54</v>
      </c>
      <c r="F704" t="s">
        <v>16</v>
      </c>
      <c r="G704" t="s">
        <v>17</v>
      </c>
      <c r="H704">
        <v>1</v>
      </c>
      <c r="I704">
        <v>6800</v>
      </c>
      <c r="J704">
        <v>0.1</v>
      </c>
      <c r="K704">
        <v>6120</v>
      </c>
      <c r="L704" t="s">
        <v>135</v>
      </c>
    </row>
    <row r="705" spans="1:12">
      <c r="A705" t="s">
        <v>1147</v>
      </c>
      <c r="B705" t="s">
        <v>550</v>
      </c>
      <c r="C705" s="1">
        <v>46286</v>
      </c>
      <c r="D705" t="s">
        <v>46</v>
      </c>
      <c r="E705" t="s">
        <v>47</v>
      </c>
      <c r="F705" t="s">
        <v>34</v>
      </c>
      <c r="G705" t="s">
        <v>17</v>
      </c>
      <c r="H705">
        <v>3</v>
      </c>
      <c r="I705">
        <v>9200</v>
      </c>
      <c r="J705">
        <v>0.1</v>
      </c>
      <c r="K705">
        <v>24840</v>
      </c>
      <c r="L705" t="s">
        <v>113</v>
      </c>
    </row>
    <row r="706" spans="1:12">
      <c r="A706" t="s">
        <v>1148</v>
      </c>
      <c r="B706" t="s">
        <v>686</v>
      </c>
      <c r="C706" s="1">
        <v>46035</v>
      </c>
      <c r="D706" t="s">
        <v>60</v>
      </c>
      <c r="E706" t="s">
        <v>28</v>
      </c>
      <c r="F706" t="s">
        <v>16</v>
      </c>
      <c r="G706" t="s">
        <v>17</v>
      </c>
      <c r="H706">
        <v>1</v>
      </c>
      <c r="I706">
        <v>12800</v>
      </c>
      <c r="J706">
        <v>0</v>
      </c>
      <c r="K706">
        <v>12800</v>
      </c>
      <c r="L706" t="s">
        <v>135</v>
      </c>
    </row>
    <row r="707" spans="1:12">
      <c r="A707" t="s">
        <v>1149</v>
      </c>
      <c r="B707" t="s">
        <v>1110</v>
      </c>
      <c r="C707" s="1">
        <v>46287</v>
      </c>
      <c r="D707" t="s">
        <v>77</v>
      </c>
      <c r="E707" t="s">
        <v>54</v>
      </c>
      <c r="F707" t="s">
        <v>34</v>
      </c>
      <c r="G707" t="s">
        <v>29</v>
      </c>
      <c r="H707">
        <v>1</v>
      </c>
      <c r="I707">
        <v>7200</v>
      </c>
      <c r="J707">
        <v>0</v>
      </c>
      <c r="K707">
        <v>7200</v>
      </c>
      <c r="L707" t="s">
        <v>85</v>
      </c>
    </row>
    <row r="708" spans="1:12">
      <c r="A708" t="s">
        <v>1150</v>
      </c>
      <c r="B708" t="s">
        <v>1151</v>
      </c>
      <c r="C708" s="1">
        <v>46210</v>
      </c>
      <c r="D708" t="s">
        <v>14</v>
      </c>
      <c r="E708" t="s">
        <v>15</v>
      </c>
      <c r="F708" t="s">
        <v>16</v>
      </c>
      <c r="G708" t="s">
        <v>17</v>
      </c>
      <c r="H708">
        <v>1</v>
      </c>
      <c r="I708">
        <v>7600</v>
      </c>
      <c r="J708">
        <v>0.05</v>
      </c>
      <c r="K708">
        <v>7220</v>
      </c>
      <c r="L708" t="s">
        <v>64</v>
      </c>
    </row>
    <row r="709" spans="1:12">
      <c r="A709" t="s">
        <v>1152</v>
      </c>
      <c r="B709" t="s">
        <v>259</v>
      </c>
      <c r="C709" s="1">
        <v>46228</v>
      </c>
      <c r="D709" t="s">
        <v>77</v>
      </c>
      <c r="E709" t="s">
        <v>54</v>
      </c>
      <c r="F709" t="s">
        <v>34</v>
      </c>
      <c r="G709" t="s">
        <v>17</v>
      </c>
      <c r="H709">
        <v>2</v>
      </c>
      <c r="I709">
        <v>7200</v>
      </c>
      <c r="J709">
        <v>0.1</v>
      </c>
      <c r="K709">
        <v>12960</v>
      </c>
      <c r="L709" t="s">
        <v>35</v>
      </c>
    </row>
    <row r="710" spans="1:12">
      <c r="A710" t="s">
        <v>1153</v>
      </c>
      <c r="B710" t="s">
        <v>577</v>
      </c>
      <c r="C710" s="1">
        <v>46078</v>
      </c>
      <c r="D710" t="s">
        <v>27</v>
      </c>
      <c r="E710" t="s">
        <v>28</v>
      </c>
      <c r="F710" t="s">
        <v>34</v>
      </c>
      <c r="G710" t="s">
        <v>29</v>
      </c>
      <c r="H710">
        <v>1</v>
      </c>
      <c r="I710">
        <v>3500</v>
      </c>
      <c r="J710">
        <v>0</v>
      </c>
      <c r="K710">
        <v>3500</v>
      </c>
      <c r="L710" t="s">
        <v>135</v>
      </c>
    </row>
    <row r="711" spans="1:12">
      <c r="A711" t="s">
        <v>1154</v>
      </c>
      <c r="B711" t="s">
        <v>1155</v>
      </c>
      <c r="C711" s="1">
        <v>46023</v>
      </c>
      <c r="D711" t="s">
        <v>21</v>
      </c>
      <c r="E711" t="s">
        <v>22</v>
      </c>
      <c r="F711" t="s">
        <v>16</v>
      </c>
      <c r="G711" t="s">
        <v>23</v>
      </c>
      <c r="H711">
        <v>1</v>
      </c>
      <c r="I711">
        <v>7600</v>
      </c>
      <c r="J711">
        <v>0.2</v>
      </c>
      <c r="K711">
        <v>6080</v>
      </c>
      <c r="L711" t="s">
        <v>85</v>
      </c>
    </row>
    <row r="712" spans="1:12">
      <c r="A712" t="s">
        <v>1156</v>
      </c>
      <c r="B712" t="s">
        <v>105</v>
      </c>
      <c r="C712" s="1">
        <v>46182</v>
      </c>
      <c r="D712" t="s">
        <v>100</v>
      </c>
      <c r="E712" t="s">
        <v>28</v>
      </c>
      <c r="F712" t="s">
        <v>16</v>
      </c>
      <c r="G712" t="s">
        <v>23</v>
      </c>
      <c r="H712">
        <v>1</v>
      </c>
      <c r="I712">
        <v>4200</v>
      </c>
      <c r="J712">
        <v>0.15</v>
      </c>
      <c r="K712">
        <v>3570</v>
      </c>
      <c r="L712" t="s">
        <v>123</v>
      </c>
    </row>
    <row r="713" spans="1:12">
      <c r="A713" t="s">
        <v>1157</v>
      </c>
      <c r="B713" t="s">
        <v>1158</v>
      </c>
      <c r="C713" s="1">
        <v>46214</v>
      </c>
      <c r="D713" t="s">
        <v>96</v>
      </c>
      <c r="E713" t="s">
        <v>22</v>
      </c>
      <c r="F713" t="s">
        <v>16</v>
      </c>
      <c r="G713" t="s">
        <v>23</v>
      </c>
      <c r="H713">
        <v>3</v>
      </c>
      <c r="I713">
        <v>3200</v>
      </c>
      <c r="J713">
        <v>0.05</v>
      </c>
      <c r="K713">
        <v>9120</v>
      </c>
      <c r="L713" t="s">
        <v>18</v>
      </c>
    </row>
    <row r="714" spans="1:12">
      <c r="A714" t="s">
        <v>1159</v>
      </c>
      <c r="B714" t="s">
        <v>586</v>
      </c>
      <c r="C714" s="1">
        <v>46081</v>
      </c>
      <c r="D714" t="s">
        <v>67</v>
      </c>
      <c r="E714" t="s">
        <v>54</v>
      </c>
      <c r="F714" t="s">
        <v>16</v>
      </c>
      <c r="G714" t="s">
        <v>17</v>
      </c>
      <c r="H714">
        <v>2</v>
      </c>
      <c r="I714">
        <v>2800</v>
      </c>
      <c r="J714">
        <v>0.05</v>
      </c>
      <c r="K714">
        <v>5320</v>
      </c>
      <c r="L714" t="s">
        <v>18</v>
      </c>
    </row>
    <row r="715" spans="1:12">
      <c r="A715" t="s">
        <v>1160</v>
      </c>
      <c r="B715" t="s">
        <v>1161</v>
      </c>
      <c r="C715" s="1">
        <v>46098</v>
      </c>
      <c r="D715" t="s">
        <v>130</v>
      </c>
      <c r="E715" t="s">
        <v>22</v>
      </c>
      <c r="F715" t="s">
        <v>16</v>
      </c>
      <c r="G715" t="s">
        <v>17</v>
      </c>
      <c r="H715">
        <v>1</v>
      </c>
      <c r="I715">
        <v>5900</v>
      </c>
      <c r="J715">
        <v>0.05</v>
      </c>
      <c r="K715">
        <v>5605</v>
      </c>
      <c r="L715" t="s">
        <v>18</v>
      </c>
    </row>
    <row r="716" spans="1:12">
      <c r="A716" t="s">
        <v>1162</v>
      </c>
      <c r="B716" t="s">
        <v>307</v>
      </c>
      <c r="C716" s="1">
        <v>46139</v>
      </c>
      <c r="D716" t="s">
        <v>14</v>
      </c>
      <c r="E716" t="s">
        <v>15</v>
      </c>
      <c r="F716" t="s">
        <v>16</v>
      </c>
      <c r="G716" t="s">
        <v>17</v>
      </c>
      <c r="H716">
        <v>3</v>
      </c>
      <c r="I716">
        <v>7600</v>
      </c>
      <c r="J716">
        <v>0.15</v>
      </c>
      <c r="K716">
        <v>19380</v>
      </c>
      <c r="L716" t="s">
        <v>35</v>
      </c>
    </row>
    <row r="717" spans="1:12">
      <c r="A717" t="s">
        <v>1163</v>
      </c>
      <c r="B717" t="s">
        <v>1164</v>
      </c>
      <c r="C717" s="1">
        <v>46282</v>
      </c>
      <c r="D717" t="s">
        <v>67</v>
      </c>
      <c r="E717" t="s">
        <v>54</v>
      </c>
      <c r="F717" t="s">
        <v>34</v>
      </c>
      <c r="G717" t="s">
        <v>23</v>
      </c>
      <c r="H717">
        <v>2</v>
      </c>
      <c r="I717">
        <v>2800</v>
      </c>
      <c r="J717">
        <v>0.05</v>
      </c>
      <c r="K717">
        <v>5320</v>
      </c>
      <c r="L717" t="s">
        <v>113</v>
      </c>
    </row>
    <row r="718" spans="1:12">
      <c r="A718" t="s">
        <v>1165</v>
      </c>
      <c r="B718" t="s">
        <v>228</v>
      </c>
      <c r="C718" s="1">
        <v>46253</v>
      </c>
      <c r="D718" t="s">
        <v>84</v>
      </c>
      <c r="E718" t="s">
        <v>22</v>
      </c>
      <c r="F718" t="s">
        <v>34</v>
      </c>
      <c r="G718" t="s">
        <v>17</v>
      </c>
      <c r="H718">
        <v>1</v>
      </c>
      <c r="I718">
        <v>8900</v>
      </c>
      <c r="J718">
        <v>0.15</v>
      </c>
      <c r="K718">
        <v>7565</v>
      </c>
      <c r="L718" t="s">
        <v>123</v>
      </c>
    </row>
    <row r="719" spans="1:12">
      <c r="A719" t="s">
        <v>1166</v>
      </c>
      <c r="B719" t="s">
        <v>1167</v>
      </c>
      <c r="C719" s="1">
        <v>46178</v>
      </c>
      <c r="D719" t="s">
        <v>96</v>
      </c>
      <c r="E719" t="s">
        <v>22</v>
      </c>
      <c r="F719" t="s">
        <v>16</v>
      </c>
      <c r="G719" t="s">
        <v>17</v>
      </c>
      <c r="H719">
        <v>1</v>
      </c>
      <c r="I719">
        <v>3200</v>
      </c>
      <c r="J719">
        <v>0.1</v>
      </c>
      <c r="K719">
        <v>2880</v>
      </c>
      <c r="L719" t="s">
        <v>135</v>
      </c>
    </row>
    <row r="720" spans="1:12">
      <c r="A720" t="s">
        <v>1168</v>
      </c>
      <c r="B720" t="s">
        <v>948</v>
      </c>
      <c r="C720" s="1">
        <v>46287</v>
      </c>
      <c r="D720" t="s">
        <v>50</v>
      </c>
      <c r="E720" t="s">
        <v>28</v>
      </c>
      <c r="F720" t="s">
        <v>34</v>
      </c>
      <c r="G720" t="s">
        <v>17</v>
      </c>
      <c r="H720">
        <v>2</v>
      </c>
      <c r="I720">
        <v>6200</v>
      </c>
      <c r="J720">
        <v>0</v>
      </c>
      <c r="K720">
        <v>12400</v>
      </c>
      <c r="L720" t="s">
        <v>72</v>
      </c>
    </row>
    <row r="721" spans="1:12">
      <c r="A721" t="s">
        <v>1169</v>
      </c>
      <c r="B721" t="s">
        <v>393</v>
      </c>
      <c r="C721" s="1">
        <v>46036</v>
      </c>
      <c r="D721" t="s">
        <v>60</v>
      </c>
      <c r="E721" t="s">
        <v>28</v>
      </c>
      <c r="F721" t="s">
        <v>16</v>
      </c>
      <c r="G721" t="s">
        <v>17</v>
      </c>
      <c r="H721">
        <v>1</v>
      </c>
      <c r="I721">
        <v>12800</v>
      </c>
      <c r="J721">
        <v>0.05</v>
      </c>
      <c r="K721">
        <v>12160</v>
      </c>
      <c r="L721" t="s">
        <v>123</v>
      </c>
    </row>
    <row r="722" spans="1:12">
      <c r="A722" t="s">
        <v>1170</v>
      </c>
      <c r="B722" t="s">
        <v>932</v>
      </c>
      <c r="C722" s="1">
        <v>46205</v>
      </c>
      <c r="D722" t="s">
        <v>60</v>
      </c>
      <c r="E722" t="s">
        <v>28</v>
      </c>
      <c r="F722" t="s">
        <v>16</v>
      </c>
      <c r="G722" t="s">
        <v>29</v>
      </c>
      <c r="H722">
        <v>3</v>
      </c>
      <c r="I722">
        <v>12800</v>
      </c>
      <c r="J722">
        <v>0</v>
      </c>
      <c r="K722">
        <v>38400</v>
      </c>
      <c r="L722" t="s">
        <v>85</v>
      </c>
    </row>
    <row r="723" spans="1:12">
      <c r="A723" t="s">
        <v>1171</v>
      </c>
      <c r="B723" t="s">
        <v>527</v>
      </c>
      <c r="C723" s="1">
        <v>46284</v>
      </c>
      <c r="D723" t="s">
        <v>115</v>
      </c>
      <c r="E723" t="s">
        <v>54</v>
      </c>
      <c r="F723" t="s">
        <v>16</v>
      </c>
      <c r="G723" t="s">
        <v>17</v>
      </c>
      <c r="H723">
        <v>1</v>
      </c>
      <c r="I723">
        <v>6800</v>
      </c>
      <c r="J723">
        <v>0</v>
      </c>
      <c r="K723">
        <v>6800</v>
      </c>
      <c r="L723" t="s">
        <v>135</v>
      </c>
    </row>
    <row r="724" spans="1:12">
      <c r="A724" t="s">
        <v>1172</v>
      </c>
      <c r="B724" t="s">
        <v>443</v>
      </c>
      <c r="C724" s="1">
        <v>46165</v>
      </c>
      <c r="D724" t="s">
        <v>46</v>
      </c>
      <c r="E724" t="s">
        <v>47</v>
      </c>
      <c r="F724" t="s">
        <v>34</v>
      </c>
      <c r="G724" t="s">
        <v>23</v>
      </c>
      <c r="H724">
        <v>2</v>
      </c>
      <c r="I724">
        <v>9200</v>
      </c>
      <c r="J724">
        <v>0.05</v>
      </c>
      <c r="K724">
        <v>17480</v>
      </c>
      <c r="L724" t="s">
        <v>135</v>
      </c>
    </row>
    <row r="725" spans="1:12">
      <c r="A725" t="s">
        <v>1173</v>
      </c>
      <c r="B725" t="s">
        <v>548</v>
      </c>
      <c r="C725" s="1">
        <v>46271</v>
      </c>
      <c r="D725" t="s">
        <v>96</v>
      </c>
      <c r="E725" t="s">
        <v>22</v>
      </c>
      <c r="F725" t="s">
        <v>16</v>
      </c>
      <c r="G725" t="s">
        <v>23</v>
      </c>
      <c r="H725">
        <v>1</v>
      </c>
      <c r="I725">
        <v>3200</v>
      </c>
      <c r="J725">
        <v>0.2</v>
      </c>
      <c r="K725">
        <v>2560</v>
      </c>
      <c r="L725" t="s">
        <v>123</v>
      </c>
    </row>
    <row r="726" spans="1:12">
      <c r="A726" t="s">
        <v>1174</v>
      </c>
      <c r="B726" t="s">
        <v>1060</v>
      </c>
      <c r="C726" s="1">
        <v>46186</v>
      </c>
      <c r="D726" t="s">
        <v>96</v>
      </c>
      <c r="E726" t="s">
        <v>22</v>
      </c>
      <c r="F726" t="s">
        <v>16</v>
      </c>
      <c r="G726" t="s">
        <v>29</v>
      </c>
      <c r="H726">
        <v>1</v>
      </c>
      <c r="I726">
        <v>3200</v>
      </c>
      <c r="J726">
        <v>0.1</v>
      </c>
      <c r="K726">
        <v>2880</v>
      </c>
      <c r="L726" t="s">
        <v>97</v>
      </c>
    </row>
    <row r="727" spans="1:12">
      <c r="A727" t="s">
        <v>1175</v>
      </c>
      <c r="B727" t="s">
        <v>596</v>
      </c>
      <c r="C727" s="1">
        <v>46172</v>
      </c>
      <c r="D727" t="s">
        <v>41</v>
      </c>
      <c r="E727" t="s">
        <v>15</v>
      </c>
      <c r="F727" t="s">
        <v>34</v>
      </c>
      <c r="G727" t="s">
        <v>17</v>
      </c>
      <c r="H727">
        <v>1</v>
      </c>
      <c r="I727">
        <v>5400</v>
      </c>
      <c r="J727">
        <v>0</v>
      </c>
      <c r="K727">
        <v>5400</v>
      </c>
      <c r="L727" t="s">
        <v>38</v>
      </c>
    </row>
    <row r="728" spans="1:12">
      <c r="A728" t="s">
        <v>1176</v>
      </c>
      <c r="B728" t="s">
        <v>122</v>
      </c>
      <c r="C728" s="1">
        <v>46030</v>
      </c>
      <c r="D728" t="s">
        <v>53</v>
      </c>
      <c r="E728" t="s">
        <v>54</v>
      </c>
      <c r="F728" t="s">
        <v>16</v>
      </c>
      <c r="G728" t="s">
        <v>29</v>
      </c>
      <c r="H728">
        <v>1</v>
      </c>
      <c r="I728">
        <v>4500</v>
      </c>
      <c r="J728">
        <v>0.05</v>
      </c>
      <c r="K728">
        <v>4275</v>
      </c>
      <c r="L728" t="s">
        <v>142</v>
      </c>
    </row>
    <row r="729" spans="1:12">
      <c r="A729" t="s">
        <v>1177</v>
      </c>
      <c r="B729" t="s">
        <v>263</v>
      </c>
      <c r="C729" s="1">
        <v>46210</v>
      </c>
      <c r="D729" t="s">
        <v>71</v>
      </c>
      <c r="E729" t="s">
        <v>47</v>
      </c>
      <c r="F729" t="s">
        <v>16</v>
      </c>
      <c r="G729" t="s">
        <v>23</v>
      </c>
      <c r="H729">
        <v>2</v>
      </c>
      <c r="I729">
        <v>5600</v>
      </c>
      <c r="J729">
        <v>0.05</v>
      </c>
      <c r="K729">
        <v>10640</v>
      </c>
      <c r="L729" t="s">
        <v>113</v>
      </c>
    </row>
    <row r="730" spans="1:12">
      <c r="A730" t="s">
        <v>1178</v>
      </c>
      <c r="B730" t="s">
        <v>1179</v>
      </c>
      <c r="C730" s="1">
        <v>46191</v>
      </c>
      <c r="D730" t="s">
        <v>21</v>
      </c>
      <c r="E730" t="s">
        <v>22</v>
      </c>
      <c r="F730" t="s">
        <v>16</v>
      </c>
      <c r="G730" t="s">
        <v>29</v>
      </c>
      <c r="H730">
        <v>2</v>
      </c>
      <c r="I730">
        <v>7600</v>
      </c>
      <c r="J730">
        <v>0</v>
      </c>
      <c r="K730">
        <v>15200</v>
      </c>
      <c r="L730" t="s">
        <v>30</v>
      </c>
    </row>
    <row r="731" spans="1:12">
      <c r="A731" t="s">
        <v>1180</v>
      </c>
      <c r="B731" t="s">
        <v>962</v>
      </c>
      <c r="C731" s="1">
        <v>46201</v>
      </c>
      <c r="D731" t="s">
        <v>67</v>
      </c>
      <c r="E731" t="s">
        <v>54</v>
      </c>
      <c r="F731" t="s">
        <v>34</v>
      </c>
      <c r="G731" t="s">
        <v>17</v>
      </c>
      <c r="H731">
        <v>1</v>
      </c>
      <c r="I731">
        <v>2800</v>
      </c>
      <c r="J731">
        <v>0.2</v>
      </c>
      <c r="K731">
        <v>2240</v>
      </c>
      <c r="L731" t="s">
        <v>64</v>
      </c>
    </row>
    <row r="732" spans="1:12">
      <c r="A732" t="s">
        <v>1181</v>
      </c>
      <c r="B732" t="s">
        <v>734</v>
      </c>
      <c r="C732" s="1">
        <v>46129</v>
      </c>
      <c r="D732" t="s">
        <v>77</v>
      </c>
      <c r="E732" t="s">
        <v>54</v>
      </c>
      <c r="F732" t="s">
        <v>16</v>
      </c>
      <c r="G732" t="s">
        <v>29</v>
      </c>
      <c r="H732">
        <v>1</v>
      </c>
      <c r="I732">
        <v>7200</v>
      </c>
      <c r="J732">
        <v>0</v>
      </c>
      <c r="K732">
        <v>7200</v>
      </c>
      <c r="L732" t="s">
        <v>97</v>
      </c>
    </row>
    <row r="733" spans="1:12">
      <c r="A733" t="s">
        <v>1182</v>
      </c>
      <c r="B733" t="s">
        <v>281</v>
      </c>
      <c r="C733" s="1">
        <v>46190</v>
      </c>
      <c r="D733" t="s">
        <v>183</v>
      </c>
      <c r="E733" t="s">
        <v>15</v>
      </c>
      <c r="F733" t="s">
        <v>16</v>
      </c>
      <c r="G733" t="s">
        <v>17</v>
      </c>
      <c r="H733">
        <v>2</v>
      </c>
      <c r="I733">
        <v>9800</v>
      </c>
      <c r="J733">
        <v>0.05</v>
      </c>
      <c r="K733">
        <v>18620</v>
      </c>
      <c r="L733" t="s">
        <v>35</v>
      </c>
    </row>
    <row r="734" spans="1:12">
      <c r="A734" t="s">
        <v>1183</v>
      </c>
      <c r="B734" t="s">
        <v>1184</v>
      </c>
      <c r="C734" s="1">
        <v>46210</v>
      </c>
      <c r="D734" t="s">
        <v>91</v>
      </c>
      <c r="E734" t="s">
        <v>22</v>
      </c>
      <c r="F734" t="s">
        <v>34</v>
      </c>
      <c r="G734" t="s">
        <v>23</v>
      </c>
      <c r="H734">
        <v>3</v>
      </c>
      <c r="I734">
        <v>11500</v>
      </c>
      <c r="J734">
        <v>0.15</v>
      </c>
      <c r="K734">
        <v>29325</v>
      </c>
      <c r="L734" t="s">
        <v>123</v>
      </c>
    </row>
    <row r="735" spans="1:12">
      <c r="A735" t="s">
        <v>1185</v>
      </c>
      <c r="B735" t="s">
        <v>1020</v>
      </c>
      <c r="C735" s="1">
        <v>46251</v>
      </c>
      <c r="D735" t="s">
        <v>60</v>
      </c>
      <c r="E735" t="s">
        <v>28</v>
      </c>
      <c r="F735" t="s">
        <v>34</v>
      </c>
      <c r="G735" t="s">
        <v>17</v>
      </c>
      <c r="H735">
        <v>2</v>
      </c>
      <c r="I735">
        <v>12800</v>
      </c>
      <c r="J735">
        <v>0.2</v>
      </c>
      <c r="K735">
        <v>20480</v>
      </c>
      <c r="L735" t="s">
        <v>61</v>
      </c>
    </row>
    <row r="736" spans="1:12">
      <c r="A736" t="s">
        <v>1186</v>
      </c>
      <c r="B736" t="s">
        <v>342</v>
      </c>
      <c r="C736" s="1">
        <v>46243</v>
      </c>
      <c r="D736" t="s">
        <v>53</v>
      </c>
      <c r="E736" t="s">
        <v>54</v>
      </c>
      <c r="F736" t="s">
        <v>16</v>
      </c>
      <c r="G736" t="s">
        <v>17</v>
      </c>
      <c r="H736">
        <v>1</v>
      </c>
      <c r="I736">
        <v>4500</v>
      </c>
      <c r="J736">
        <v>0</v>
      </c>
      <c r="K736">
        <v>4500</v>
      </c>
      <c r="L736" t="s">
        <v>123</v>
      </c>
    </row>
    <row r="737" spans="1:12">
      <c r="A737" t="s">
        <v>1187</v>
      </c>
      <c r="B737" t="s">
        <v>601</v>
      </c>
      <c r="C737" s="1">
        <v>46238</v>
      </c>
      <c r="D737" t="s">
        <v>100</v>
      </c>
      <c r="E737" t="s">
        <v>28</v>
      </c>
      <c r="F737" t="s">
        <v>16</v>
      </c>
      <c r="G737" t="s">
        <v>29</v>
      </c>
      <c r="H737">
        <v>3</v>
      </c>
      <c r="I737">
        <v>4200</v>
      </c>
      <c r="J737">
        <v>0.1</v>
      </c>
      <c r="K737">
        <v>11340</v>
      </c>
      <c r="L737" t="s">
        <v>85</v>
      </c>
    </row>
    <row r="738" spans="1:12">
      <c r="A738" t="s">
        <v>1188</v>
      </c>
      <c r="B738" t="s">
        <v>274</v>
      </c>
      <c r="C738" s="1">
        <v>46093</v>
      </c>
      <c r="D738" t="s">
        <v>14</v>
      </c>
      <c r="E738" t="s">
        <v>15</v>
      </c>
      <c r="F738" t="s">
        <v>16</v>
      </c>
      <c r="G738" t="s">
        <v>23</v>
      </c>
      <c r="H738">
        <v>2</v>
      </c>
      <c r="I738">
        <v>7600</v>
      </c>
      <c r="J738">
        <v>0.1</v>
      </c>
      <c r="K738">
        <v>13680</v>
      </c>
      <c r="L738" t="s">
        <v>24</v>
      </c>
    </row>
    <row r="739" spans="1:12">
      <c r="A739" t="s">
        <v>1189</v>
      </c>
      <c r="B739" t="s">
        <v>409</v>
      </c>
      <c r="C739" s="1">
        <v>46111</v>
      </c>
      <c r="D739" t="s">
        <v>50</v>
      </c>
      <c r="E739" t="s">
        <v>28</v>
      </c>
      <c r="F739" t="s">
        <v>16</v>
      </c>
      <c r="G739" t="s">
        <v>17</v>
      </c>
      <c r="H739">
        <v>1</v>
      </c>
      <c r="I739">
        <v>6200</v>
      </c>
      <c r="J739">
        <v>0.05</v>
      </c>
      <c r="K739">
        <v>5890</v>
      </c>
      <c r="L739" t="s">
        <v>35</v>
      </c>
    </row>
    <row r="740" spans="1:12">
      <c r="A740" t="s">
        <v>1190</v>
      </c>
      <c r="B740" t="s">
        <v>1191</v>
      </c>
      <c r="C740" s="1">
        <v>46256</v>
      </c>
      <c r="D740" t="s">
        <v>53</v>
      </c>
      <c r="E740" t="s">
        <v>54</v>
      </c>
      <c r="F740" t="s">
        <v>34</v>
      </c>
      <c r="G740" t="s">
        <v>29</v>
      </c>
      <c r="H740">
        <v>4</v>
      </c>
      <c r="I740">
        <v>4500</v>
      </c>
      <c r="J740">
        <v>0.1</v>
      </c>
      <c r="K740">
        <v>16200</v>
      </c>
      <c r="L740" t="s">
        <v>135</v>
      </c>
    </row>
    <row r="741" spans="1:12">
      <c r="A741" t="s">
        <v>1192</v>
      </c>
      <c r="B741" t="s">
        <v>1097</v>
      </c>
      <c r="C741" s="1">
        <v>46174</v>
      </c>
      <c r="D741" t="s">
        <v>60</v>
      </c>
      <c r="E741" t="s">
        <v>28</v>
      </c>
      <c r="F741" t="s">
        <v>16</v>
      </c>
      <c r="G741" t="s">
        <v>17</v>
      </c>
      <c r="H741">
        <v>1</v>
      </c>
      <c r="I741">
        <v>12800</v>
      </c>
      <c r="J741">
        <v>0.1</v>
      </c>
      <c r="K741">
        <v>11520</v>
      </c>
      <c r="L741" t="s">
        <v>68</v>
      </c>
    </row>
    <row r="742" spans="1:12">
      <c r="A742" t="s">
        <v>1193</v>
      </c>
      <c r="B742" t="s">
        <v>209</v>
      </c>
      <c r="C742" s="1">
        <v>46121</v>
      </c>
      <c r="D742" t="s">
        <v>130</v>
      </c>
      <c r="E742" t="s">
        <v>22</v>
      </c>
      <c r="F742" t="s">
        <v>34</v>
      </c>
      <c r="G742" t="s">
        <v>17</v>
      </c>
      <c r="H742">
        <v>1</v>
      </c>
      <c r="I742">
        <v>5900</v>
      </c>
      <c r="J742">
        <v>0.05</v>
      </c>
      <c r="K742">
        <v>5605</v>
      </c>
      <c r="L742" t="s">
        <v>68</v>
      </c>
    </row>
    <row r="743" spans="1:12">
      <c r="A743" t="s">
        <v>1194</v>
      </c>
      <c r="B743" t="s">
        <v>778</v>
      </c>
      <c r="C743" s="1">
        <v>46199</v>
      </c>
      <c r="D743" t="s">
        <v>77</v>
      </c>
      <c r="E743" t="s">
        <v>54</v>
      </c>
      <c r="F743" t="s">
        <v>16</v>
      </c>
      <c r="G743" t="s">
        <v>17</v>
      </c>
      <c r="H743">
        <v>1</v>
      </c>
      <c r="I743">
        <v>7200</v>
      </c>
      <c r="J743">
        <v>0.05</v>
      </c>
      <c r="K743">
        <v>6840</v>
      </c>
      <c r="L743" t="s">
        <v>61</v>
      </c>
    </row>
    <row r="744" spans="1:12">
      <c r="A744" t="s">
        <v>1195</v>
      </c>
      <c r="B744" t="s">
        <v>1196</v>
      </c>
      <c r="C744" s="1">
        <v>46287</v>
      </c>
      <c r="D744" t="s">
        <v>60</v>
      </c>
      <c r="E744" t="s">
        <v>28</v>
      </c>
      <c r="F744" t="s">
        <v>34</v>
      </c>
      <c r="G744" t="s">
        <v>17</v>
      </c>
      <c r="H744">
        <v>2</v>
      </c>
      <c r="I744">
        <v>12800</v>
      </c>
      <c r="J744">
        <v>0.05</v>
      </c>
      <c r="K744">
        <v>24320</v>
      </c>
      <c r="L744" t="s">
        <v>135</v>
      </c>
    </row>
    <row r="745" spans="1:12">
      <c r="A745" t="s">
        <v>1197</v>
      </c>
      <c r="B745" t="s">
        <v>176</v>
      </c>
      <c r="C745" s="1">
        <v>46234</v>
      </c>
      <c r="D745" t="s">
        <v>60</v>
      </c>
      <c r="E745" t="s">
        <v>28</v>
      </c>
      <c r="F745" t="s">
        <v>16</v>
      </c>
      <c r="G745" t="s">
        <v>17</v>
      </c>
      <c r="H745">
        <v>3</v>
      </c>
      <c r="I745">
        <v>12800</v>
      </c>
      <c r="J745">
        <v>0</v>
      </c>
      <c r="K745">
        <v>38400</v>
      </c>
      <c r="L745" t="s">
        <v>68</v>
      </c>
    </row>
    <row r="746" spans="1:12">
      <c r="A746" t="s">
        <v>1198</v>
      </c>
      <c r="B746" t="s">
        <v>374</v>
      </c>
      <c r="C746" s="1">
        <v>46041</v>
      </c>
      <c r="D746" t="s">
        <v>88</v>
      </c>
      <c r="E746" t="s">
        <v>15</v>
      </c>
      <c r="F746" t="s">
        <v>34</v>
      </c>
      <c r="G746" t="s">
        <v>17</v>
      </c>
      <c r="H746">
        <v>1</v>
      </c>
      <c r="I746">
        <v>4800</v>
      </c>
      <c r="J746">
        <v>0.15</v>
      </c>
      <c r="K746">
        <v>4080</v>
      </c>
      <c r="L746" t="s">
        <v>38</v>
      </c>
    </row>
    <row r="747" spans="1:12">
      <c r="A747" t="s">
        <v>1199</v>
      </c>
      <c r="B747" t="s">
        <v>1076</v>
      </c>
      <c r="C747" s="1">
        <v>46024</v>
      </c>
      <c r="D747" t="s">
        <v>103</v>
      </c>
      <c r="E747" t="s">
        <v>47</v>
      </c>
      <c r="F747" t="s">
        <v>34</v>
      </c>
      <c r="G747" t="s">
        <v>23</v>
      </c>
      <c r="H747">
        <v>1</v>
      </c>
      <c r="I747">
        <v>3800</v>
      </c>
      <c r="J747">
        <v>0.15</v>
      </c>
      <c r="K747">
        <v>3230</v>
      </c>
      <c r="L747" t="s">
        <v>123</v>
      </c>
    </row>
    <row r="748" spans="1:12">
      <c r="A748" t="s">
        <v>1200</v>
      </c>
      <c r="B748" t="s">
        <v>1201</v>
      </c>
      <c r="C748" s="1">
        <v>46211</v>
      </c>
      <c r="D748" t="s">
        <v>46</v>
      </c>
      <c r="E748" t="s">
        <v>47</v>
      </c>
      <c r="F748" t="s">
        <v>34</v>
      </c>
      <c r="G748" t="s">
        <v>17</v>
      </c>
      <c r="H748">
        <v>1</v>
      </c>
      <c r="I748">
        <v>9200</v>
      </c>
      <c r="J748">
        <v>0.1</v>
      </c>
      <c r="K748">
        <v>8280</v>
      </c>
      <c r="L748" t="s">
        <v>142</v>
      </c>
    </row>
    <row r="749" spans="1:12">
      <c r="A749" t="s">
        <v>1202</v>
      </c>
      <c r="B749" t="s">
        <v>564</v>
      </c>
      <c r="C749" s="1">
        <v>46041</v>
      </c>
      <c r="D749" t="s">
        <v>130</v>
      </c>
      <c r="E749" t="s">
        <v>22</v>
      </c>
      <c r="F749" t="s">
        <v>16</v>
      </c>
      <c r="G749" t="s">
        <v>17</v>
      </c>
      <c r="H749">
        <v>2</v>
      </c>
      <c r="I749">
        <v>5900</v>
      </c>
      <c r="J749">
        <v>0.05</v>
      </c>
      <c r="K749">
        <v>11210</v>
      </c>
      <c r="L749" t="s">
        <v>97</v>
      </c>
    </row>
    <row r="750" spans="1:12">
      <c r="A750" t="s">
        <v>1203</v>
      </c>
      <c r="B750" t="s">
        <v>381</v>
      </c>
      <c r="C750" s="1">
        <v>46140</v>
      </c>
      <c r="D750" t="s">
        <v>96</v>
      </c>
      <c r="E750" t="s">
        <v>22</v>
      </c>
      <c r="F750" t="s">
        <v>34</v>
      </c>
      <c r="G750" t="s">
        <v>17</v>
      </c>
      <c r="H750">
        <v>2</v>
      </c>
      <c r="I750">
        <v>3200</v>
      </c>
      <c r="J750">
        <v>0</v>
      </c>
      <c r="K750">
        <v>6400</v>
      </c>
      <c r="L750" t="s">
        <v>97</v>
      </c>
    </row>
    <row r="751" spans="1:12">
      <c r="A751" t="s">
        <v>1204</v>
      </c>
      <c r="B751" t="s">
        <v>1087</v>
      </c>
      <c r="C751" s="1">
        <v>46112</v>
      </c>
      <c r="D751" t="s">
        <v>27</v>
      </c>
      <c r="E751" t="s">
        <v>28</v>
      </c>
      <c r="F751" t="s">
        <v>34</v>
      </c>
      <c r="G751" t="s">
        <v>17</v>
      </c>
      <c r="H751">
        <v>1</v>
      </c>
      <c r="I751">
        <v>3500</v>
      </c>
      <c r="J751">
        <v>0.05</v>
      </c>
      <c r="K751">
        <v>3325</v>
      </c>
      <c r="L751" t="s">
        <v>61</v>
      </c>
    </row>
    <row r="752" spans="1:12">
      <c r="A752" t="s">
        <v>1205</v>
      </c>
      <c r="B752" t="s">
        <v>443</v>
      </c>
      <c r="C752" s="1">
        <v>46279</v>
      </c>
      <c r="D752" t="s">
        <v>88</v>
      </c>
      <c r="E752" t="s">
        <v>15</v>
      </c>
      <c r="F752" t="s">
        <v>34</v>
      </c>
      <c r="G752" t="s">
        <v>23</v>
      </c>
      <c r="H752">
        <v>1</v>
      </c>
      <c r="I752">
        <v>4800</v>
      </c>
      <c r="J752">
        <v>0</v>
      </c>
      <c r="K752">
        <v>4800</v>
      </c>
      <c r="L752" t="s">
        <v>18</v>
      </c>
    </row>
    <row r="753" spans="1:12">
      <c r="A753" t="s">
        <v>1206</v>
      </c>
      <c r="B753" t="s">
        <v>1201</v>
      </c>
      <c r="C753" s="1">
        <v>46197</v>
      </c>
      <c r="D753" t="s">
        <v>100</v>
      </c>
      <c r="E753" t="s">
        <v>28</v>
      </c>
      <c r="F753" t="s">
        <v>34</v>
      </c>
      <c r="G753" t="s">
        <v>17</v>
      </c>
      <c r="H753">
        <v>2</v>
      </c>
      <c r="I753">
        <v>4200</v>
      </c>
      <c r="J753">
        <v>0.15</v>
      </c>
      <c r="K753">
        <v>7140</v>
      </c>
      <c r="L753" t="s">
        <v>123</v>
      </c>
    </row>
    <row r="754" spans="1:12">
      <c r="A754" t="s">
        <v>1207</v>
      </c>
      <c r="B754" t="s">
        <v>102</v>
      </c>
      <c r="C754" s="1">
        <v>46154</v>
      </c>
      <c r="D754" t="s">
        <v>41</v>
      </c>
      <c r="E754" t="s">
        <v>15</v>
      </c>
      <c r="F754" t="s">
        <v>16</v>
      </c>
      <c r="G754" t="s">
        <v>29</v>
      </c>
      <c r="H754">
        <v>2</v>
      </c>
      <c r="I754">
        <v>5400</v>
      </c>
      <c r="J754">
        <v>0.15</v>
      </c>
      <c r="K754">
        <v>9180</v>
      </c>
      <c r="L754" t="s">
        <v>64</v>
      </c>
    </row>
    <row r="755" spans="1:12">
      <c r="A755" t="s">
        <v>1208</v>
      </c>
      <c r="B755" t="s">
        <v>913</v>
      </c>
      <c r="C755" s="1">
        <v>46221</v>
      </c>
      <c r="D755" t="s">
        <v>57</v>
      </c>
      <c r="E755" t="s">
        <v>54</v>
      </c>
      <c r="F755" t="s">
        <v>16</v>
      </c>
      <c r="G755" t="s">
        <v>23</v>
      </c>
      <c r="H755">
        <v>1</v>
      </c>
      <c r="I755">
        <v>2400</v>
      </c>
      <c r="J755">
        <v>0</v>
      </c>
      <c r="K755">
        <v>2400</v>
      </c>
      <c r="L755" t="s">
        <v>113</v>
      </c>
    </row>
    <row r="756" spans="1:12">
      <c r="A756" t="s">
        <v>1209</v>
      </c>
      <c r="B756" t="s">
        <v>1210</v>
      </c>
      <c r="C756" s="1">
        <v>46280</v>
      </c>
      <c r="D756" t="s">
        <v>115</v>
      </c>
      <c r="E756" t="s">
        <v>54</v>
      </c>
      <c r="F756" t="s">
        <v>34</v>
      </c>
      <c r="G756" t="s">
        <v>29</v>
      </c>
      <c r="H756">
        <v>1</v>
      </c>
      <c r="I756">
        <v>6800</v>
      </c>
      <c r="J756">
        <v>0.2</v>
      </c>
      <c r="K756">
        <v>5440</v>
      </c>
      <c r="L756" t="s">
        <v>61</v>
      </c>
    </row>
    <row r="757" spans="1:12">
      <c r="A757" t="s">
        <v>1211</v>
      </c>
      <c r="B757" t="s">
        <v>199</v>
      </c>
      <c r="C757" s="1">
        <v>46178</v>
      </c>
      <c r="D757" t="s">
        <v>96</v>
      </c>
      <c r="E757" t="s">
        <v>22</v>
      </c>
      <c r="F757" t="s">
        <v>34</v>
      </c>
      <c r="G757" t="s">
        <v>17</v>
      </c>
      <c r="H757">
        <v>1</v>
      </c>
      <c r="I757">
        <v>3200</v>
      </c>
      <c r="J757">
        <v>0.05</v>
      </c>
      <c r="K757">
        <v>3040</v>
      </c>
      <c r="L757" t="s">
        <v>97</v>
      </c>
    </row>
    <row r="758" spans="1:12">
      <c r="A758" t="s">
        <v>1212</v>
      </c>
      <c r="B758" t="s">
        <v>168</v>
      </c>
      <c r="C758" s="1">
        <v>46024</v>
      </c>
      <c r="D758" t="s">
        <v>130</v>
      </c>
      <c r="E758" t="s">
        <v>22</v>
      </c>
      <c r="F758" t="s">
        <v>34</v>
      </c>
      <c r="G758" t="s">
        <v>29</v>
      </c>
      <c r="H758">
        <v>2</v>
      </c>
      <c r="I758">
        <v>5900</v>
      </c>
      <c r="J758">
        <v>0</v>
      </c>
      <c r="K758">
        <v>11800</v>
      </c>
      <c r="L758" t="s">
        <v>97</v>
      </c>
    </row>
    <row r="759" spans="1:12">
      <c r="A759" t="s">
        <v>1213</v>
      </c>
      <c r="B759" t="s">
        <v>1214</v>
      </c>
      <c r="C759" s="1">
        <v>46228</v>
      </c>
      <c r="D759" t="s">
        <v>27</v>
      </c>
      <c r="E759" t="s">
        <v>28</v>
      </c>
      <c r="F759" t="s">
        <v>34</v>
      </c>
      <c r="G759" t="s">
        <v>29</v>
      </c>
      <c r="H759">
        <v>2</v>
      </c>
      <c r="I759">
        <v>3500</v>
      </c>
      <c r="J759">
        <v>0.1</v>
      </c>
      <c r="K759">
        <v>6300</v>
      </c>
      <c r="L759" t="s">
        <v>24</v>
      </c>
    </row>
    <row r="760" spans="1:12">
      <c r="A760" t="s">
        <v>1215</v>
      </c>
      <c r="B760" t="s">
        <v>601</v>
      </c>
      <c r="C760" s="1">
        <v>46217</v>
      </c>
      <c r="D760" t="s">
        <v>27</v>
      </c>
      <c r="E760" t="s">
        <v>28</v>
      </c>
      <c r="F760" t="s">
        <v>16</v>
      </c>
      <c r="G760" t="s">
        <v>17</v>
      </c>
      <c r="H760">
        <v>1</v>
      </c>
      <c r="I760">
        <v>3500</v>
      </c>
      <c r="J760">
        <v>0</v>
      </c>
      <c r="K760">
        <v>3500</v>
      </c>
      <c r="L760" t="s">
        <v>72</v>
      </c>
    </row>
    <row r="761" spans="1:12">
      <c r="A761" t="s">
        <v>1216</v>
      </c>
      <c r="B761" t="s">
        <v>332</v>
      </c>
      <c r="C761" s="1">
        <v>46057</v>
      </c>
      <c r="D761" t="s">
        <v>67</v>
      </c>
      <c r="E761" t="s">
        <v>54</v>
      </c>
      <c r="F761" t="s">
        <v>16</v>
      </c>
      <c r="G761" t="s">
        <v>17</v>
      </c>
      <c r="H761">
        <v>2</v>
      </c>
      <c r="I761">
        <v>2800</v>
      </c>
      <c r="J761">
        <v>0</v>
      </c>
      <c r="K761">
        <v>5600</v>
      </c>
      <c r="L761" t="s">
        <v>97</v>
      </c>
    </row>
    <row r="762" spans="1:12">
      <c r="A762" t="s">
        <v>1217</v>
      </c>
      <c r="B762" t="s">
        <v>188</v>
      </c>
      <c r="C762" s="1">
        <v>46172</v>
      </c>
      <c r="D762" t="s">
        <v>46</v>
      </c>
      <c r="E762" t="s">
        <v>47</v>
      </c>
      <c r="F762" t="s">
        <v>16</v>
      </c>
      <c r="G762" t="s">
        <v>23</v>
      </c>
      <c r="H762">
        <v>4</v>
      </c>
      <c r="I762">
        <v>9200</v>
      </c>
      <c r="J762">
        <v>0</v>
      </c>
      <c r="K762">
        <v>36800</v>
      </c>
      <c r="L762" t="s">
        <v>113</v>
      </c>
    </row>
    <row r="763" spans="1:12">
      <c r="A763" t="s">
        <v>1218</v>
      </c>
      <c r="B763" t="s">
        <v>309</v>
      </c>
      <c r="C763" s="1">
        <v>46244</v>
      </c>
      <c r="D763" t="s">
        <v>41</v>
      </c>
      <c r="E763" t="s">
        <v>15</v>
      </c>
      <c r="F763" t="s">
        <v>16</v>
      </c>
      <c r="G763" t="s">
        <v>17</v>
      </c>
      <c r="H763">
        <v>1</v>
      </c>
      <c r="I763">
        <v>5400</v>
      </c>
      <c r="J763">
        <v>0.1</v>
      </c>
      <c r="K763">
        <v>4860</v>
      </c>
      <c r="L763" t="s">
        <v>123</v>
      </c>
    </row>
    <row r="764" spans="1:12">
      <c r="A764" t="s">
        <v>1219</v>
      </c>
      <c r="B764" t="s">
        <v>213</v>
      </c>
      <c r="C764" s="1">
        <v>46203</v>
      </c>
      <c r="D764" t="s">
        <v>67</v>
      </c>
      <c r="E764" t="s">
        <v>54</v>
      </c>
      <c r="F764" t="s">
        <v>16</v>
      </c>
      <c r="G764" t="s">
        <v>29</v>
      </c>
      <c r="H764">
        <v>1</v>
      </c>
      <c r="I764">
        <v>2800</v>
      </c>
      <c r="J764">
        <v>0.1</v>
      </c>
      <c r="K764">
        <v>2520</v>
      </c>
      <c r="L764" t="s">
        <v>142</v>
      </c>
    </row>
    <row r="765" spans="1:12">
      <c r="A765" t="s">
        <v>1220</v>
      </c>
      <c r="B765" t="s">
        <v>479</v>
      </c>
      <c r="C765" s="1">
        <v>46034</v>
      </c>
      <c r="D765" t="s">
        <v>130</v>
      </c>
      <c r="E765" t="s">
        <v>22</v>
      </c>
      <c r="F765" t="s">
        <v>16</v>
      </c>
      <c r="G765" t="s">
        <v>17</v>
      </c>
      <c r="H765">
        <v>1</v>
      </c>
      <c r="I765">
        <v>5900</v>
      </c>
      <c r="J765">
        <v>0.1</v>
      </c>
      <c r="K765">
        <v>5310</v>
      </c>
      <c r="L765" t="s">
        <v>61</v>
      </c>
    </row>
    <row r="766" spans="1:12">
      <c r="A766" t="s">
        <v>1221</v>
      </c>
      <c r="B766" t="s">
        <v>496</v>
      </c>
      <c r="C766" s="1">
        <v>46219</v>
      </c>
      <c r="D766" t="s">
        <v>77</v>
      </c>
      <c r="E766" t="s">
        <v>54</v>
      </c>
      <c r="F766" t="s">
        <v>34</v>
      </c>
      <c r="G766" t="s">
        <v>29</v>
      </c>
      <c r="H766">
        <v>1</v>
      </c>
      <c r="I766">
        <v>7200</v>
      </c>
      <c r="J766">
        <v>0.05</v>
      </c>
      <c r="K766">
        <v>6840</v>
      </c>
      <c r="L766" t="s">
        <v>35</v>
      </c>
    </row>
    <row r="767" spans="1:12">
      <c r="A767" t="s">
        <v>1222</v>
      </c>
      <c r="B767" t="s">
        <v>615</v>
      </c>
      <c r="C767" s="1">
        <v>46250</v>
      </c>
      <c r="D767" t="s">
        <v>41</v>
      </c>
      <c r="E767" t="s">
        <v>15</v>
      </c>
      <c r="F767" t="s">
        <v>34</v>
      </c>
      <c r="G767" t="s">
        <v>23</v>
      </c>
      <c r="H767">
        <v>1</v>
      </c>
      <c r="I767">
        <v>5400</v>
      </c>
      <c r="J767">
        <v>0.1</v>
      </c>
      <c r="K767">
        <v>4860</v>
      </c>
      <c r="L767" t="s">
        <v>64</v>
      </c>
    </row>
    <row r="768" spans="1:12">
      <c r="A768" t="s">
        <v>1223</v>
      </c>
      <c r="B768" t="s">
        <v>1224</v>
      </c>
      <c r="C768" s="1">
        <v>46138</v>
      </c>
      <c r="D768" t="s">
        <v>27</v>
      </c>
      <c r="E768" t="s">
        <v>28</v>
      </c>
      <c r="F768" t="s">
        <v>34</v>
      </c>
      <c r="G768" t="s">
        <v>23</v>
      </c>
      <c r="H768">
        <v>1</v>
      </c>
      <c r="I768">
        <v>3500</v>
      </c>
      <c r="J768">
        <v>0.1</v>
      </c>
      <c r="K768">
        <v>3150</v>
      </c>
      <c r="L768" t="s">
        <v>135</v>
      </c>
    </row>
    <row r="769" spans="1:12">
      <c r="A769" t="s">
        <v>1225</v>
      </c>
      <c r="B769" t="s">
        <v>910</v>
      </c>
      <c r="C769" s="1">
        <v>46156</v>
      </c>
      <c r="D769" t="s">
        <v>33</v>
      </c>
      <c r="E769" t="s">
        <v>28</v>
      </c>
      <c r="F769" t="s">
        <v>34</v>
      </c>
      <c r="G769" t="s">
        <v>17</v>
      </c>
      <c r="H769">
        <v>4</v>
      </c>
      <c r="I769">
        <v>8500</v>
      </c>
      <c r="J769">
        <v>0.1</v>
      </c>
      <c r="K769">
        <v>30600</v>
      </c>
      <c r="L769" t="s">
        <v>38</v>
      </c>
    </row>
    <row r="770" spans="1:12">
      <c r="A770" t="s">
        <v>1226</v>
      </c>
      <c r="B770" t="s">
        <v>1227</v>
      </c>
      <c r="C770" s="1">
        <v>46062</v>
      </c>
      <c r="D770" t="s">
        <v>84</v>
      </c>
      <c r="E770" t="s">
        <v>22</v>
      </c>
      <c r="F770" t="s">
        <v>16</v>
      </c>
      <c r="G770" t="s">
        <v>17</v>
      </c>
      <c r="H770">
        <v>1</v>
      </c>
      <c r="I770">
        <v>8900</v>
      </c>
      <c r="J770">
        <v>0.1</v>
      </c>
      <c r="K770">
        <v>8010</v>
      </c>
      <c r="L770" t="s">
        <v>18</v>
      </c>
    </row>
    <row r="771" spans="1:12">
      <c r="A771" t="s">
        <v>1228</v>
      </c>
      <c r="B771" t="s">
        <v>1229</v>
      </c>
      <c r="C771" s="1">
        <v>46086</v>
      </c>
      <c r="D771" t="s">
        <v>183</v>
      </c>
      <c r="E771" t="s">
        <v>15</v>
      </c>
      <c r="F771" t="s">
        <v>34</v>
      </c>
      <c r="G771" t="s">
        <v>29</v>
      </c>
      <c r="H771">
        <v>1</v>
      </c>
      <c r="I771">
        <v>9800</v>
      </c>
      <c r="J771">
        <v>0.05</v>
      </c>
      <c r="K771">
        <v>9310</v>
      </c>
      <c r="L771" t="s">
        <v>113</v>
      </c>
    </row>
    <row r="772" spans="1:12">
      <c r="A772" t="s">
        <v>1230</v>
      </c>
      <c r="B772" t="s">
        <v>45</v>
      </c>
      <c r="C772" s="1">
        <v>46200</v>
      </c>
      <c r="D772" t="s">
        <v>118</v>
      </c>
      <c r="E772" t="s">
        <v>47</v>
      </c>
      <c r="F772" t="s">
        <v>34</v>
      </c>
      <c r="G772" t="s">
        <v>29</v>
      </c>
      <c r="H772">
        <v>1</v>
      </c>
      <c r="I772">
        <v>4100</v>
      </c>
      <c r="J772">
        <v>0</v>
      </c>
      <c r="K772">
        <v>4100</v>
      </c>
      <c r="L772" t="s">
        <v>85</v>
      </c>
    </row>
    <row r="773" spans="1:12">
      <c r="A773" t="s">
        <v>1231</v>
      </c>
      <c r="B773" t="s">
        <v>1003</v>
      </c>
      <c r="C773" s="1">
        <v>46280</v>
      </c>
      <c r="D773" t="s">
        <v>41</v>
      </c>
      <c r="E773" t="s">
        <v>15</v>
      </c>
      <c r="F773" t="s">
        <v>16</v>
      </c>
      <c r="G773" t="s">
        <v>17</v>
      </c>
      <c r="H773">
        <v>1</v>
      </c>
      <c r="I773">
        <v>5400</v>
      </c>
      <c r="J773">
        <v>0</v>
      </c>
      <c r="K773">
        <v>5400</v>
      </c>
      <c r="L773" t="s">
        <v>18</v>
      </c>
    </row>
    <row r="774" spans="1:12">
      <c r="A774" t="s">
        <v>1232</v>
      </c>
      <c r="B774" t="s">
        <v>1233</v>
      </c>
      <c r="C774" s="1">
        <v>46092</v>
      </c>
      <c r="D774" t="s">
        <v>27</v>
      </c>
      <c r="E774" t="s">
        <v>28</v>
      </c>
      <c r="F774" t="s">
        <v>16</v>
      </c>
      <c r="G774" t="s">
        <v>17</v>
      </c>
      <c r="H774">
        <v>1</v>
      </c>
      <c r="I774">
        <v>3500</v>
      </c>
      <c r="J774">
        <v>0</v>
      </c>
      <c r="K774">
        <v>3500</v>
      </c>
      <c r="L774" t="s">
        <v>123</v>
      </c>
    </row>
    <row r="775" spans="1:12">
      <c r="A775" t="s">
        <v>1234</v>
      </c>
      <c r="B775" t="s">
        <v>635</v>
      </c>
      <c r="C775" s="1">
        <v>46112</v>
      </c>
      <c r="D775" t="s">
        <v>91</v>
      </c>
      <c r="E775" t="s">
        <v>22</v>
      </c>
      <c r="F775" t="s">
        <v>34</v>
      </c>
      <c r="G775" t="s">
        <v>17</v>
      </c>
      <c r="H775">
        <v>2</v>
      </c>
      <c r="I775">
        <v>11500</v>
      </c>
      <c r="J775">
        <v>0.1</v>
      </c>
      <c r="K775">
        <v>20700</v>
      </c>
      <c r="L775" t="s">
        <v>97</v>
      </c>
    </row>
    <row r="776" spans="1:12">
      <c r="A776" t="s">
        <v>1235</v>
      </c>
      <c r="B776" t="s">
        <v>491</v>
      </c>
      <c r="C776" s="1">
        <v>46095</v>
      </c>
      <c r="D776" t="s">
        <v>84</v>
      </c>
      <c r="E776" t="s">
        <v>22</v>
      </c>
      <c r="F776" t="s">
        <v>34</v>
      </c>
      <c r="G776" t="s">
        <v>23</v>
      </c>
      <c r="H776">
        <v>1</v>
      </c>
      <c r="I776">
        <v>8900</v>
      </c>
      <c r="J776">
        <v>0</v>
      </c>
      <c r="K776">
        <v>8900</v>
      </c>
      <c r="L776" t="s">
        <v>123</v>
      </c>
    </row>
    <row r="777" spans="1:12">
      <c r="A777" t="s">
        <v>1236</v>
      </c>
      <c r="B777" t="s">
        <v>1237</v>
      </c>
      <c r="C777" s="1">
        <v>46183</v>
      </c>
      <c r="D777" t="s">
        <v>91</v>
      </c>
      <c r="E777" t="s">
        <v>22</v>
      </c>
      <c r="F777" t="s">
        <v>34</v>
      </c>
      <c r="G777" t="s">
        <v>17</v>
      </c>
      <c r="H777">
        <v>1</v>
      </c>
      <c r="I777">
        <v>11500</v>
      </c>
      <c r="J777">
        <v>0.05</v>
      </c>
      <c r="K777">
        <v>10925</v>
      </c>
      <c r="L777" t="s">
        <v>18</v>
      </c>
    </row>
    <row r="778" spans="1:12">
      <c r="A778" t="s">
        <v>1238</v>
      </c>
      <c r="B778" t="s">
        <v>20</v>
      </c>
      <c r="C778" s="1">
        <v>46032</v>
      </c>
      <c r="D778" t="s">
        <v>41</v>
      </c>
      <c r="E778" t="s">
        <v>15</v>
      </c>
      <c r="F778" t="s">
        <v>16</v>
      </c>
      <c r="G778" t="s">
        <v>29</v>
      </c>
      <c r="H778">
        <v>1</v>
      </c>
      <c r="I778">
        <v>5400</v>
      </c>
      <c r="J778">
        <v>0.05</v>
      </c>
      <c r="K778">
        <v>5130</v>
      </c>
      <c r="L778" t="s">
        <v>35</v>
      </c>
    </row>
    <row r="779" spans="1:12">
      <c r="A779" t="s">
        <v>1239</v>
      </c>
      <c r="B779" t="s">
        <v>148</v>
      </c>
      <c r="C779" s="1">
        <v>46160</v>
      </c>
      <c r="D779" t="s">
        <v>84</v>
      </c>
      <c r="E779" t="s">
        <v>22</v>
      </c>
      <c r="F779" t="s">
        <v>34</v>
      </c>
      <c r="G779" t="s">
        <v>17</v>
      </c>
      <c r="H779">
        <v>2</v>
      </c>
      <c r="I779">
        <v>8900</v>
      </c>
      <c r="J779">
        <v>0.1</v>
      </c>
      <c r="K779">
        <v>16020</v>
      </c>
      <c r="L779" t="s">
        <v>135</v>
      </c>
    </row>
    <row r="780" spans="1:12">
      <c r="A780" t="s">
        <v>1240</v>
      </c>
      <c r="B780" t="s">
        <v>664</v>
      </c>
      <c r="C780" s="1">
        <v>46239</v>
      </c>
      <c r="D780" t="s">
        <v>115</v>
      </c>
      <c r="E780" t="s">
        <v>54</v>
      </c>
      <c r="F780" t="s">
        <v>16</v>
      </c>
      <c r="G780" t="s">
        <v>17</v>
      </c>
      <c r="H780">
        <v>1</v>
      </c>
      <c r="I780">
        <v>6800</v>
      </c>
      <c r="J780">
        <v>0.1</v>
      </c>
      <c r="K780">
        <v>6120</v>
      </c>
      <c r="L780" t="s">
        <v>97</v>
      </c>
    </row>
    <row r="781" spans="1:12">
      <c r="A781" t="s">
        <v>1241</v>
      </c>
      <c r="B781" t="s">
        <v>819</v>
      </c>
      <c r="C781" s="1">
        <v>46288</v>
      </c>
      <c r="D781" t="s">
        <v>84</v>
      </c>
      <c r="E781" t="s">
        <v>22</v>
      </c>
      <c r="F781" t="s">
        <v>16</v>
      </c>
      <c r="G781" t="s">
        <v>29</v>
      </c>
      <c r="H781">
        <v>2</v>
      </c>
      <c r="I781">
        <v>8900</v>
      </c>
      <c r="J781">
        <v>0</v>
      </c>
      <c r="K781">
        <v>17800</v>
      </c>
      <c r="L781" t="s">
        <v>135</v>
      </c>
    </row>
    <row r="782" spans="1:12">
      <c r="A782" t="s">
        <v>1242</v>
      </c>
      <c r="B782" t="s">
        <v>348</v>
      </c>
      <c r="C782" s="1">
        <v>46026</v>
      </c>
      <c r="D782" t="s">
        <v>100</v>
      </c>
      <c r="E782" t="s">
        <v>28</v>
      </c>
      <c r="F782" t="s">
        <v>34</v>
      </c>
      <c r="G782" t="s">
        <v>29</v>
      </c>
      <c r="H782">
        <v>1</v>
      </c>
      <c r="I782">
        <v>4200</v>
      </c>
      <c r="J782">
        <v>0</v>
      </c>
      <c r="K782">
        <v>4200</v>
      </c>
      <c r="L782" t="s">
        <v>85</v>
      </c>
    </row>
    <row r="783" spans="1:12">
      <c r="A783" t="s">
        <v>1243</v>
      </c>
      <c r="B783" t="s">
        <v>798</v>
      </c>
      <c r="C783" s="1">
        <v>46172</v>
      </c>
      <c r="D783" t="s">
        <v>67</v>
      </c>
      <c r="E783" t="s">
        <v>54</v>
      </c>
      <c r="F783" t="s">
        <v>34</v>
      </c>
      <c r="G783" t="s">
        <v>23</v>
      </c>
      <c r="H783">
        <v>1</v>
      </c>
      <c r="I783">
        <v>2800</v>
      </c>
      <c r="J783">
        <v>0.1</v>
      </c>
      <c r="K783">
        <v>2520</v>
      </c>
      <c r="L783" t="s">
        <v>142</v>
      </c>
    </row>
    <row r="784" spans="1:12">
      <c r="A784" t="s">
        <v>1244</v>
      </c>
      <c r="B784" t="s">
        <v>350</v>
      </c>
      <c r="C784" s="1">
        <v>46151</v>
      </c>
      <c r="D784" t="s">
        <v>71</v>
      </c>
      <c r="E784" t="s">
        <v>47</v>
      </c>
      <c r="F784" t="s">
        <v>16</v>
      </c>
      <c r="G784" t="s">
        <v>17</v>
      </c>
      <c r="H784">
        <v>1</v>
      </c>
      <c r="I784">
        <v>5600</v>
      </c>
      <c r="J784">
        <v>0.15</v>
      </c>
      <c r="K784">
        <v>4760</v>
      </c>
      <c r="L784" t="s">
        <v>38</v>
      </c>
    </row>
    <row r="785" spans="1:12">
      <c r="A785" t="s">
        <v>1245</v>
      </c>
      <c r="B785" t="s">
        <v>299</v>
      </c>
      <c r="C785" s="1">
        <v>46089</v>
      </c>
      <c r="D785" t="s">
        <v>96</v>
      </c>
      <c r="E785" t="s">
        <v>22</v>
      </c>
      <c r="F785" t="s">
        <v>16</v>
      </c>
      <c r="G785" t="s">
        <v>17</v>
      </c>
      <c r="H785">
        <v>4</v>
      </c>
      <c r="I785">
        <v>3200</v>
      </c>
      <c r="J785">
        <v>0.05</v>
      </c>
      <c r="K785">
        <v>12160</v>
      </c>
      <c r="L785" t="s">
        <v>135</v>
      </c>
    </row>
    <row r="786" spans="1:12">
      <c r="A786" t="s">
        <v>1246</v>
      </c>
      <c r="B786" t="s">
        <v>972</v>
      </c>
      <c r="C786" s="1">
        <v>46035</v>
      </c>
      <c r="D786" t="s">
        <v>183</v>
      </c>
      <c r="E786" t="s">
        <v>15</v>
      </c>
      <c r="F786" t="s">
        <v>16</v>
      </c>
      <c r="G786" t="s">
        <v>23</v>
      </c>
      <c r="H786">
        <v>2</v>
      </c>
      <c r="I786">
        <v>9800</v>
      </c>
      <c r="J786">
        <v>0.1</v>
      </c>
      <c r="K786">
        <v>17640</v>
      </c>
      <c r="L786" t="s">
        <v>30</v>
      </c>
    </row>
    <row r="787" spans="1:12">
      <c r="A787" t="s">
        <v>1247</v>
      </c>
      <c r="B787" t="s">
        <v>158</v>
      </c>
      <c r="C787" s="1">
        <v>46130</v>
      </c>
      <c r="D787" t="s">
        <v>130</v>
      </c>
      <c r="E787" t="s">
        <v>22</v>
      </c>
      <c r="F787" t="s">
        <v>16</v>
      </c>
      <c r="G787" t="s">
        <v>17</v>
      </c>
      <c r="H787">
        <v>2</v>
      </c>
      <c r="I787">
        <v>5900</v>
      </c>
      <c r="J787">
        <v>0.05</v>
      </c>
      <c r="K787">
        <v>11210</v>
      </c>
      <c r="L787" t="s">
        <v>68</v>
      </c>
    </row>
    <row r="788" spans="1:12">
      <c r="A788" t="s">
        <v>1248</v>
      </c>
      <c r="B788" t="s">
        <v>276</v>
      </c>
      <c r="C788" s="1">
        <v>46133</v>
      </c>
      <c r="D788" t="s">
        <v>84</v>
      </c>
      <c r="E788" t="s">
        <v>22</v>
      </c>
      <c r="F788" t="s">
        <v>16</v>
      </c>
      <c r="G788" t="s">
        <v>23</v>
      </c>
      <c r="H788">
        <v>2</v>
      </c>
      <c r="I788">
        <v>8900</v>
      </c>
      <c r="J788">
        <v>0.05</v>
      </c>
      <c r="K788">
        <v>16910</v>
      </c>
      <c r="L788" t="s">
        <v>24</v>
      </c>
    </row>
    <row r="789" spans="1:12">
      <c r="A789" t="s">
        <v>1249</v>
      </c>
      <c r="B789" t="s">
        <v>228</v>
      </c>
      <c r="C789" s="1">
        <v>46166</v>
      </c>
      <c r="D789" t="s">
        <v>130</v>
      </c>
      <c r="E789" t="s">
        <v>22</v>
      </c>
      <c r="F789" t="s">
        <v>34</v>
      </c>
      <c r="G789" t="s">
        <v>23</v>
      </c>
      <c r="H789">
        <v>2</v>
      </c>
      <c r="I789">
        <v>5900</v>
      </c>
      <c r="J789">
        <v>0.15</v>
      </c>
      <c r="K789">
        <v>10030</v>
      </c>
      <c r="L789" t="s">
        <v>123</v>
      </c>
    </row>
    <row r="790" spans="1:12">
      <c r="A790" t="s">
        <v>1250</v>
      </c>
      <c r="B790" t="s">
        <v>943</v>
      </c>
      <c r="C790" s="1">
        <v>46098</v>
      </c>
      <c r="D790" t="s">
        <v>91</v>
      </c>
      <c r="E790" t="s">
        <v>22</v>
      </c>
      <c r="F790" t="s">
        <v>16</v>
      </c>
      <c r="G790" t="s">
        <v>17</v>
      </c>
      <c r="H790">
        <v>1</v>
      </c>
      <c r="I790">
        <v>11500</v>
      </c>
      <c r="J790">
        <v>0.1</v>
      </c>
      <c r="K790">
        <v>10350</v>
      </c>
      <c r="L790" t="s">
        <v>35</v>
      </c>
    </row>
    <row r="791" spans="1:12">
      <c r="A791" t="s">
        <v>1251</v>
      </c>
      <c r="B791" t="s">
        <v>668</v>
      </c>
      <c r="C791" s="1">
        <v>46253</v>
      </c>
      <c r="D791" t="s">
        <v>50</v>
      </c>
      <c r="E791" t="s">
        <v>28</v>
      </c>
      <c r="F791" t="s">
        <v>16</v>
      </c>
      <c r="G791" t="s">
        <v>17</v>
      </c>
      <c r="H791">
        <v>1</v>
      </c>
      <c r="I791">
        <v>6200</v>
      </c>
      <c r="J791">
        <v>0</v>
      </c>
      <c r="K791">
        <v>6200</v>
      </c>
      <c r="L791" t="s">
        <v>18</v>
      </c>
    </row>
    <row r="792" spans="1:12">
      <c r="A792" t="s">
        <v>1252</v>
      </c>
      <c r="B792" t="s">
        <v>496</v>
      </c>
      <c r="C792" s="1">
        <v>46275</v>
      </c>
      <c r="D792" t="s">
        <v>100</v>
      </c>
      <c r="E792" t="s">
        <v>28</v>
      </c>
      <c r="F792" t="s">
        <v>34</v>
      </c>
      <c r="G792" t="s">
        <v>17</v>
      </c>
      <c r="H792">
        <v>1</v>
      </c>
      <c r="I792">
        <v>4200</v>
      </c>
      <c r="J792">
        <v>0.05</v>
      </c>
      <c r="K792">
        <v>3990</v>
      </c>
      <c r="L792" t="s">
        <v>18</v>
      </c>
    </row>
    <row r="793" spans="1:12">
      <c r="A793" t="s">
        <v>1253</v>
      </c>
      <c r="B793" t="s">
        <v>235</v>
      </c>
      <c r="C793" s="1">
        <v>46197</v>
      </c>
      <c r="D793" t="s">
        <v>27</v>
      </c>
      <c r="E793" t="s">
        <v>28</v>
      </c>
      <c r="F793" t="s">
        <v>34</v>
      </c>
      <c r="G793" t="s">
        <v>17</v>
      </c>
      <c r="H793">
        <v>1</v>
      </c>
      <c r="I793">
        <v>3500</v>
      </c>
      <c r="J793">
        <v>0.05</v>
      </c>
      <c r="K793">
        <v>3325</v>
      </c>
      <c r="L793" t="s">
        <v>38</v>
      </c>
    </row>
    <row r="794" spans="1:12">
      <c r="A794" t="s">
        <v>1254</v>
      </c>
      <c r="B794" t="s">
        <v>1255</v>
      </c>
      <c r="C794" s="1">
        <v>46094</v>
      </c>
      <c r="D794" t="s">
        <v>77</v>
      </c>
      <c r="E794" t="s">
        <v>54</v>
      </c>
      <c r="F794" t="s">
        <v>16</v>
      </c>
      <c r="G794" t="s">
        <v>17</v>
      </c>
      <c r="H794">
        <v>1</v>
      </c>
      <c r="I794">
        <v>7200</v>
      </c>
      <c r="J794">
        <v>0.15</v>
      </c>
      <c r="K794">
        <v>6120</v>
      </c>
      <c r="L794" t="s">
        <v>24</v>
      </c>
    </row>
    <row r="795" spans="1:12">
      <c r="A795" t="s">
        <v>1256</v>
      </c>
      <c r="B795" t="s">
        <v>761</v>
      </c>
      <c r="C795" s="1">
        <v>46077</v>
      </c>
      <c r="D795" t="s">
        <v>57</v>
      </c>
      <c r="E795" t="s">
        <v>54</v>
      </c>
      <c r="F795" t="s">
        <v>34</v>
      </c>
      <c r="G795" t="s">
        <v>29</v>
      </c>
      <c r="H795">
        <v>1</v>
      </c>
      <c r="I795">
        <v>2400</v>
      </c>
      <c r="J795">
        <v>0</v>
      </c>
      <c r="K795">
        <v>2400</v>
      </c>
      <c r="L795" t="s">
        <v>85</v>
      </c>
    </row>
    <row r="796" spans="1:12">
      <c r="A796" t="s">
        <v>1257</v>
      </c>
      <c r="B796" t="s">
        <v>605</v>
      </c>
      <c r="C796" s="1">
        <v>46151</v>
      </c>
      <c r="D796" t="s">
        <v>183</v>
      </c>
      <c r="E796" t="s">
        <v>15</v>
      </c>
      <c r="F796" t="s">
        <v>34</v>
      </c>
      <c r="G796" t="s">
        <v>29</v>
      </c>
      <c r="H796">
        <v>2</v>
      </c>
      <c r="I796">
        <v>9800</v>
      </c>
      <c r="J796">
        <v>0.05</v>
      </c>
      <c r="K796">
        <v>18620</v>
      </c>
      <c r="L796" t="s">
        <v>30</v>
      </c>
    </row>
    <row r="797" spans="1:12">
      <c r="A797" t="s">
        <v>1258</v>
      </c>
      <c r="B797" t="s">
        <v>1101</v>
      </c>
      <c r="C797" s="1">
        <v>46228</v>
      </c>
      <c r="D797" t="s">
        <v>27</v>
      </c>
      <c r="E797" t="s">
        <v>28</v>
      </c>
      <c r="F797" t="s">
        <v>34</v>
      </c>
      <c r="G797" t="s">
        <v>17</v>
      </c>
      <c r="H797">
        <v>1</v>
      </c>
      <c r="I797">
        <v>3500</v>
      </c>
      <c r="J797">
        <v>0.05</v>
      </c>
      <c r="K797">
        <v>3325</v>
      </c>
      <c r="L797" t="s">
        <v>113</v>
      </c>
    </row>
    <row r="798" spans="1:12">
      <c r="A798" t="s">
        <v>1259</v>
      </c>
      <c r="B798" t="s">
        <v>607</v>
      </c>
      <c r="C798" s="1">
        <v>46096</v>
      </c>
      <c r="D798" t="s">
        <v>57</v>
      </c>
      <c r="E798" t="s">
        <v>54</v>
      </c>
      <c r="F798" t="s">
        <v>16</v>
      </c>
      <c r="G798" t="s">
        <v>17</v>
      </c>
      <c r="H798">
        <v>1</v>
      </c>
      <c r="I798">
        <v>2400</v>
      </c>
      <c r="J798">
        <v>0</v>
      </c>
      <c r="K798">
        <v>2400</v>
      </c>
      <c r="L798" t="s">
        <v>72</v>
      </c>
    </row>
    <row r="799" spans="1:12">
      <c r="A799" t="s">
        <v>1260</v>
      </c>
      <c r="B799" t="s">
        <v>1031</v>
      </c>
      <c r="C799" s="1">
        <v>46219</v>
      </c>
      <c r="D799" t="s">
        <v>41</v>
      </c>
      <c r="E799" t="s">
        <v>15</v>
      </c>
      <c r="F799" t="s">
        <v>16</v>
      </c>
      <c r="G799" t="s">
        <v>17</v>
      </c>
      <c r="H799">
        <v>1</v>
      </c>
      <c r="I799">
        <v>5400</v>
      </c>
      <c r="J799">
        <v>0</v>
      </c>
      <c r="K799">
        <v>5400</v>
      </c>
      <c r="L799" t="s">
        <v>18</v>
      </c>
    </row>
    <row r="800" spans="1:12">
      <c r="A800" t="s">
        <v>1261</v>
      </c>
      <c r="B800" t="s">
        <v>70</v>
      </c>
      <c r="C800" s="1">
        <v>46245</v>
      </c>
      <c r="D800" t="s">
        <v>50</v>
      </c>
      <c r="E800" t="s">
        <v>28</v>
      </c>
      <c r="F800" t="s">
        <v>16</v>
      </c>
      <c r="G800" t="s">
        <v>17</v>
      </c>
      <c r="H800">
        <v>1</v>
      </c>
      <c r="I800">
        <v>6200</v>
      </c>
      <c r="J800">
        <v>0.05</v>
      </c>
      <c r="K800">
        <v>5890</v>
      </c>
      <c r="L800" t="s">
        <v>72</v>
      </c>
    </row>
    <row r="801" spans="1:12">
      <c r="A801" t="s">
        <v>1262</v>
      </c>
      <c r="B801" t="s">
        <v>372</v>
      </c>
      <c r="C801" s="1">
        <v>46213</v>
      </c>
      <c r="D801" t="s">
        <v>53</v>
      </c>
      <c r="E801" t="s">
        <v>54</v>
      </c>
      <c r="F801" t="s">
        <v>16</v>
      </c>
      <c r="G801" t="s">
        <v>29</v>
      </c>
      <c r="H801">
        <v>1</v>
      </c>
      <c r="I801">
        <v>4500</v>
      </c>
      <c r="J801">
        <v>0.05</v>
      </c>
      <c r="K801">
        <v>4275</v>
      </c>
      <c r="L801" t="s">
        <v>72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AFEB-F7B5-4695-8B5E-7172A80567C5}">
  <dimension ref="B2:C9"/>
  <sheetViews>
    <sheetView workbookViewId="0">
      <selection activeCell="G9" sqref="G9"/>
    </sheetView>
  </sheetViews>
  <sheetFormatPr defaultRowHeight="18"/>
  <cols>
    <col min="2" max="2" width="27" customWidth="1"/>
    <col min="3" max="3" width="24.75" customWidth="1"/>
  </cols>
  <sheetData>
    <row r="2" spans="2:3" ht="31" customHeight="1">
      <c r="B2" s="8" t="s">
        <v>1291</v>
      </c>
      <c r="C2" s="8" t="s">
        <v>1292</v>
      </c>
    </row>
    <row r="3" spans="2:3">
      <c r="B3" s="7" t="s">
        <v>1284</v>
      </c>
      <c r="C3" s="7">
        <f>COUNTA(ecommerce_sales!A2:A801)</f>
        <v>800</v>
      </c>
    </row>
    <row r="4" spans="2:3">
      <c r="B4" s="7" t="s">
        <v>1285</v>
      </c>
      <c r="C4" s="11">
        <f>SUM(ecommerce_sales!K2:K801)</f>
        <v>7886910</v>
      </c>
    </row>
    <row r="5" spans="2:3">
      <c r="B5" s="7" t="s">
        <v>1286</v>
      </c>
      <c r="C5" s="11">
        <f>AVERAGE(ecommerce_sales!K2:K801)</f>
        <v>9858.6375000000007</v>
      </c>
    </row>
    <row r="6" spans="2:3">
      <c r="B6" s="7" t="s">
        <v>1287</v>
      </c>
      <c r="C6" s="7">
        <f>SUM(ecommerce_sales!H2:H801)</f>
        <v>1326</v>
      </c>
    </row>
    <row r="7" spans="2:3">
      <c r="B7" s="7" t="s">
        <v>1288</v>
      </c>
      <c r="C7" s="7">
        <f>AVERAGE(ecommerce_sales!H2:H801)</f>
        <v>1.6575</v>
      </c>
    </row>
    <row r="8" spans="2:3">
      <c r="B8" s="7" t="s">
        <v>1289</v>
      </c>
      <c r="C8" s="11">
        <f>MAX(ecommerce_sales!K2:K801)</f>
        <v>51200</v>
      </c>
    </row>
    <row r="9" spans="2:3">
      <c r="B9" s="7" t="s">
        <v>1290</v>
      </c>
      <c r="C9" s="11">
        <f>MIN(ecommerce_sales!K2:K801)</f>
        <v>1920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37AE-59F3-4585-9171-E0DF9B5ACCAF}">
  <dimension ref="G1"/>
  <sheetViews>
    <sheetView zoomScale="70" zoomScaleNormal="70" workbookViewId="0">
      <selection activeCell="G1" sqref="G1"/>
    </sheetView>
  </sheetViews>
  <sheetFormatPr defaultRowHeight="18"/>
  <cols>
    <col min="1" max="2" width="15.08203125" bestFit="1" customWidth="1"/>
  </cols>
  <sheetData>
    <row r="1" spans="7:7" ht="32.5">
      <c r="G1" s="10" t="s">
        <v>1293</v>
      </c>
    </row>
  </sheetData>
  <phoneticPr fontId="1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C3FB-5C67-4750-93B8-8499AA4BD08E}">
  <dimension ref="A2:K13"/>
  <sheetViews>
    <sheetView zoomScale="70" zoomScaleNormal="70" workbookViewId="0">
      <selection activeCell="I17" sqref="I17"/>
    </sheetView>
  </sheetViews>
  <sheetFormatPr defaultRowHeight="18"/>
  <cols>
    <col min="1" max="1" width="11.75" bestFit="1" customWidth="1"/>
    <col min="2" max="2" width="15.08203125" bestFit="1" customWidth="1"/>
    <col min="5" max="5" width="11.75" bestFit="1" customWidth="1"/>
    <col min="6" max="6" width="15.08203125" bestFit="1" customWidth="1"/>
    <col min="8" max="8" width="11.75" bestFit="1" customWidth="1"/>
    <col min="9" max="9" width="15.58203125" bestFit="1" customWidth="1"/>
    <col min="10" max="10" width="15.08203125" bestFit="1" customWidth="1"/>
    <col min="11" max="11" width="14.75" bestFit="1" customWidth="1"/>
  </cols>
  <sheetData>
    <row r="2" spans="1:11">
      <c r="A2" t="s">
        <v>1280</v>
      </c>
      <c r="E2" t="s">
        <v>1281</v>
      </c>
      <c r="H2" t="s">
        <v>1282</v>
      </c>
    </row>
    <row r="3" spans="1:11">
      <c r="A3" s="2" t="s">
        <v>1263</v>
      </c>
      <c r="B3" t="s">
        <v>1267</v>
      </c>
      <c r="E3" s="2" t="s">
        <v>1263</v>
      </c>
      <c r="F3" t="s">
        <v>1265</v>
      </c>
      <c r="H3" s="2" t="s">
        <v>1263</v>
      </c>
      <c r="I3" t="s">
        <v>1266</v>
      </c>
      <c r="J3" t="s">
        <v>1265</v>
      </c>
      <c r="K3" t="s">
        <v>1283</v>
      </c>
    </row>
    <row r="4" spans="1:11">
      <c r="A4" s="3">
        <v>0</v>
      </c>
      <c r="B4">
        <v>11438.725490196079</v>
      </c>
      <c r="E4" s="3">
        <v>0</v>
      </c>
      <c r="F4">
        <v>2333500</v>
      </c>
      <c r="H4" s="3">
        <v>0</v>
      </c>
      <c r="I4">
        <v>204</v>
      </c>
      <c r="J4">
        <v>2333500</v>
      </c>
      <c r="K4">
        <v>11438.725490196079</v>
      </c>
    </row>
    <row r="5" spans="1:11">
      <c r="A5" s="3">
        <v>0.05</v>
      </c>
      <c r="B5">
        <v>9257.7725118483413</v>
      </c>
      <c r="E5" s="3">
        <v>0.05</v>
      </c>
      <c r="F5">
        <v>1953390</v>
      </c>
      <c r="H5" s="3">
        <v>0.05</v>
      </c>
      <c r="I5">
        <v>211</v>
      </c>
      <c r="J5">
        <v>1953390</v>
      </c>
      <c r="K5">
        <v>9257.7725118483413</v>
      </c>
    </row>
    <row r="6" spans="1:11">
      <c r="A6" s="3">
        <v>0.1</v>
      </c>
      <c r="B6">
        <v>9938.7341772151904</v>
      </c>
      <c r="E6" s="3">
        <v>0.1</v>
      </c>
      <c r="F6">
        <v>2355480</v>
      </c>
      <c r="H6" s="3">
        <v>0.1</v>
      </c>
      <c r="I6">
        <v>237</v>
      </c>
      <c r="J6">
        <v>2355480</v>
      </c>
      <c r="K6">
        <v>9938.7341772151904</v>
      </c>
    </row>
    <row r="7" spans="1:11">
      <c r="A7" s="3">
        <v>0.15</v>
      </c>
      <c r="B7">
        <v>8396.6666666666661</v>
      </c>
      <c r="E7" s="3">
        <v>0.15</v>
      </c>
      <c r="F7">
        <v>856460</v>
      </c>
      <c r="H7" s="3">
        <v>0.15</v>
      </c>
      <c r="I7">
        <v>102</v>
      </c>
      <c r="J7">
        <v>856460</v>
      </c>
      <c r="K7">
        <v>8396.6666666666661</v>
      </c>
    </row>
    <row r="8" spans="1:11">
      <c r="A8" s="3">
        <v>0.2</v>
      </c>
      <c r="B8">
        <v>8436.5217391304341</v>
      </c>
      <c r="E8" s="3">
        <v>0.2</v>
      </c>
      <c r="F8">
        <v>388080</v>
      </c>
      <c r="H8" s="3">
        <v>0.2</v>
      </c>
      <c r="I8">
        <v>46</v>
      </c>
      <c r="J8">
        <v>388080</v>
      </c>
      <c r="K8">
        <v>8436.5217391304341</v>
      </c>
    </row>
    <row r="9" spans="1:11">
      <c r="A9" s="3" t="s">
        <v>1264</v>
      </c>
      <c r="B9">
        <v>9858.6375000000007</v>
      </c>
      <c r="E9" s="3" t="s">
        <v>1264</v>
      </c>
      <c r="F9">
        <v>7886910</v>
      </c>
      <c r="H9" s="3" t="s">
        <v>1264</v>
      </c>
      <c r="I9">
        <v>800</v>
      </c>
      <c r="J9">
        <v>7886910</v>
      </c>
      <c r="K9">
        <v>9858.6375000000007</v>
      </c>
    </row>
    <row r="13" spans="1:11">
      <c r="I13">
        <f>_xlfn.XLOOKUP(MIN(I4:I8),I4:I8,H4:H8)</f>
        <v>0.2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E75D-06A0-4CB3-B1C8-F060C46893F5}">
  <dimension ref="A3:B13"/>
  <sheetViews>
    <sheetView workbookViewId="0">
      <selection activeCell="A7" sqref="A7"/>
    </sheetView>
  </sheetViews>
  <sheetFormatPr defaultRowHeight="18"/>
  <cols>
    <col min="1" max="1" width="10.75" bestFit="1" customWidth="1"/>
    <col min="2" max="2" width="15.08203125" bestFit="1" customWidth="1"/>
  </cols>
  <sheetData>
    <row r="3" spans="1:2">
      <c r="A3" s="2" t="s">
        <v>1263</v>
      </c>
      <c r="B3" t="s">
        <v>1265</v>
      </c>
    </row>
    <row r="4" spans="1:2">
      <c r="A4" s="3" t="s">
        <v>1268</v>
      </c>
      <c r="B4">
        <v>1021890</v>
      </c>
    </row>
    <row r="5" spans="1:2">
      <c r="A5" s="3" t="s">
        <v>1269</v>
      </c>
      <c r="B5">
        <v>755690</v>
      </c>
    </row>
    <row r="6" spans="1:2">
      <c r="A6" s="3" t="s">
        <v>1270</v>
      </c>
      <c r="B6">
        <v>829760</v>
      </c>
    </row>
    <row r="7" spans="1:2">
      <c r="A7" s="3" t="s">
        <v>1271</v>
      </c>
      <c r="B7">
        <v>799215</v>
      </c>
    </row>
    <row r="8" spans="1:2">
      <c r="A8" s="3" t="s">
        <v>1272</v>
      </c>
      <c r="B8">
        <v>891280</v>
      </c>
    </row>
    <row r="9" spans="1:2">
      <c r="A9" s="3" t="s">
        <v>1273</v>
      </c>
      <c r="B9">
        <v>929500</v>
      </c>
    </row>
    <row r="10" spans="1:2">
      <c r="A10" s="3" t="s">
        <v>1274</v>
      </c>
      <c r="B10">
        <v>884365</v>
      </c>
    </row>
    <row r="11" spans="1:2">
      <c r="A11" s="3" t="s">
        <v>1275</v>
      </c>
      <c r="B11">
        <v>869745</v>
      </c>
    </row>
    <row r="12" spans="1:2">
      <c r="A12" s="3" t="s">
        <v>1276</v>
      </c>
      <c r="B12">
        <v>905465</v>
      </c>
    </row>
    <row r="13" spans="1:2">
      <c r="A13" s="3" t="s">
        <v>1264</v>
      </c>
      <c r="B13">
        <v>7886910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F38A-BA26-4CA0-A39F-2C08EC7C4214}">
  <dimension ref="A3:B276"/>
  <sheetViews>
    <sheetView workbookViewId="0">
      <selection activeCell="A3" sqref="A3"/>
    </sheetView>
  </sheetViews>
  <sheetFormatPr defaultRowHeight="18"/>
  <cols>
    <col min="1" max="1" width="14.4140625" bestFit="1" customWidth="1"/>
    <col min="2" max="2" width="15.33203125" bestFit="1" customWidth="1"/>
  </cols>
  <sheetData>
    <row r="3" spans="1:2">
      <c r="A3" s="2" t="s">
        <v>1263</v>
      </c>
      <c r="B3" t="s">
        <v>1266</v>
      </c>
    </row>
    <row r="4" spans="1:2">
      <c r="A4" s="3" t="s">
        <v>1268</v>
      </c>
      <c r="B4">
        <v>106</v>
      </c>
    </row>
    <row r="5" spans="1:2">
      <c r="A5" s="9">
        <v>46023</v>
      </c>
      <c r="B5">
        <v>3</v>
      </c>
    </row>
    <row r="6" spans="1:2">
      <c r="A6" s="9">
        <v>46024</v>
      </c>
      <c r="B6">
        <v>6</v>
      </c>
    </row>
    <row r="7" spans="1:2">
      <c r="A7" s="9">
        <v>46025</v>
      </c>
      <c r="B7">
        <v>7</v>
      </c>
    </row>
    <row r="8" spans="1:2">
      <c r="A8" s="9">
        <v>46026</v>
      </c>
      <c r="B8">
        <v>5</v>
      </c>
    </row>
    <row r="9" spans="1:2">
      <c r="A9" s="9">
        <v>46028</v>
      </c>
      <c r="B9">
        <v>1</v>
      </c>
    </row>
    <row r="10" spans="1:2">
      <c r="A10" s="9">
        <v>46029</v>
      </c>
      <c r="B10">
        <v>2</v>
      </c>
    </row>
    <row r="11" spans="1:2">
      <c r="A11" s="9">
        <v>46030</v>
      </c>
      <c r="B11">
        <v>6</v>
      </c>
    </row>
    <row r="12" spans="1:2">
      <c r="A12" s="9">
        <v>46031</v>
      </c>
      <c r="B12">
        <v>3</v>
      </c>
    </row>
    <row r="13" spans="1:2">
      <c r="A13" s="9">
        <v>46032</v>
      </c>
      <c r="B13">
        <v>2</v>
      </c>
    </row>
    <row r="14" spans="1:2">
      <c r="A14" s="9">
        <v>46033</v>
      </c>
      <c r="B14">
        <v>5</v>
      </c>
    </row>
    <row r="15" spans="1:2">
      <c r="A15" s="9">
        <v>46034</v>
      </c>
      <c r="B15">
        <v>3</v>
      </c>
    </row>
    <row r="16" spans="1:2">
      <c r="A16" s="9">
        <v>46035</v>
      </c>
      <c r="B16">
        <v>3</v>
      </c>
    </row>
    <row r="17" spans="1:2">
      <c r="A17" s="9">
        <v>46036</v>
      </c>
      <c r="B17">
        <v>8</v>
      </c>
    </row>
    <row r="18" spans="1:2">
      <c r="A18" s="9">
        <v>46037</v>
      </c>
      <c r="B18">
        <v>3</v>
      </c>
    </row>
    <row r="19" spans="1:2">
      <c r="A19" s="9">
        <v>46038</v>
      </c>
      <c r="B19">
        <v>2</v>
      </c>
    </row>
    <row r="20" spans="1:2">
      <c r="A20" s="9">
        <v>46039</v>
      </c>
      <c r="B20">
        <v>2</v>
      </c>
    </row>
    <row r="21" spans="1:2">
      <c r="A21" s="9">
        <v>46040</v>
      </c>
      <c r="B21">
        <v>5</v>
      </c>
    </row>
    <row r="22" spans="1:2">
      <c r="A22" s="9">
        <v>46041</v>
      </c>
      <c r="B22">
        <v>4</v>
      </c>
    </row>
    <row r="23" spans="1:2">
      <c r="A23" s="9">
        <v>46042</v>
      </c>
      <c r="B23">
        <v>3</v>
      </c>
    </row>
    <row r="24" spans="1:2">
      <c r="A24" s="9">
        <v>46043</v>
      </c>
      <c r="B24">
        <v>2</v>
      </c>
    </row>
    <row r="25" spans="1:2">
      <c r="A25" s="9">
        <v>46044</v>
      </c>
      <c r="B25">
        <v>3</v>
      </c>
    </row>
    <row r="26" spans="1:2">
      <c r="A26" s="9">
        <v>46045</v>
      </c>
      <c r="B26">
        <v>3</v>
      </c>
    </row>
    <row r="27" spans="1:2">
      <c r="A27" s="9">
        <v>46046</v>
      </c>
      <c r="B27">
        <v>4</v>
      </c>
    </row>
    <row r="28" spans="1:2">
      <c r="A28" s="9">
        <v>46047</v>
      </c>
      <c r="B28">
        <v>2</v>
      </c>
    </row>
    <row r="29" spans="1:2">
      <c r="A29" s="9">
        <v>46048</v>
      </c>
      <c r="B29">
        <v>4</v>
      </c>
    </row>
    <row r="30" spans="1:2">
      <c r="A30" s="9">
        <v>46049</v>
      </c>
      <c r="B30">
        <v>2</v>
      </c>
    </row>
    <row r="31" spans="1:2">
      <c r="A31" s="9">
        <v>46050</v>
      </c>
      <c r="B31">
        <v>4</v>
      </c>
    </row>
    <row r="32" spans="1:2">
      <c r="A32" s="9">
        <v>46051</v>
      </c>
      <c r="B32">
        <v>4</v>
      </c>
    </row>
    <row r="33" spans="1:2">
      <c r="A33" s="9">
        <v>46052</v>
      </c>
      <c r="B33">
        <v>4</v>
      </c>
    </row>
    <row r="34" spans="1:2">
      <c r="A34" s="9">
        <v>46053</v>
      </c>
      <c r="B34">
        <v>1</v>
      </c>
    </row>
    <row r="35" spans="1:2">
      <c r="A35" s="3" t="s">
        <v>1269</v>
      </c>
      <c r="B35">
        <v>77</v>
      </c>
    </row>
    <row r="36" spans="1:2">
      <c r="A36" s="9">
        <v>46054</v>
      </c>
      <c r="B36">
        <v>3</v>
      </c>
    </row>
    <row r="37" spans="1:2">
      <c r="A37" s="9">
        <v>46055</v>
      </c>
      <c r="B37">
        <v>1</v>
      </c>
    </row>
    <row r="38" spans="1:2">
      <c r="A38" s="9">
        <v>46056</v>
      </c>
      <c r="B38">
        <v>3</v>
      </c>
    </row>
    <row r="39" spans="1:2">
      <c r="A39" s="9">
        <v>46057</v>
      </c>
      <c r="B39">
        <v>3</v>
      </c>
    </row>
    <row r="40" spans="1:2">
      <c r="A40" s="9">
        <v>46058</v>
      </c>
      <c r="B40">
        <v>3</v>
      </c>
    </row>
    <row r="41" spans="1:2">
      <c r="A41" s="9">
        <v>46059</v>
      </c>
      <c r="B41">
        <v>1</v>
      </c>
    </row>
    <row r="42" spans="1:2">
      <c r="A42" s="9">
        <v>46060</v>
      </c>
      <c r="B42">
        <v>5</v>
      </c>
    </row>
    <row r="43" spans="1:2">
      <c r="A43" s="9">
        <v>46061</v>
      </c>
      <c r="B43">
        <v>3</v>
      </c>
    </row>
    <row r="44" spans="1:2">
      <c r="A44" s="9">
        <v>46062</v>
      </c>
      <c r="B44">
        <v>4</v>
      </c>
    </row>
    <row r="45" spans="1:2">
      <c r="A45" s="9">
        <v>46063</v>
      </c>
      <c r="B45">
        <v>4</v>
      </c>
    </row>
    <row r="46" spans="1:2">
      <c r="A46" s="9">
        <v>46064</v>
      </c>
      <c r="B46">
        <v>2</v>
      </c>
    </row>
    <row r="47" spans="1:2">
      <c r="A47" s="9">
        <v>46065</v>
      </c>
      <c r="B47">
        <v>3</v>
      </c>
    </row>
    <row r="48" spans="1:2">
      <c r="A48" s="9">
        <v>46066</v>
      </c>
      <c r="B48">
        <v>1</v>
      </c>
    </row>
    <row r="49" spans="1:2">
      <c r="A49" s="9">
        <v>46068</v>
      </c>
      <c r="B49">
        <v>3</v>
      </c>
    </row>
    <row r="50" spans="1:2">
      <c r="A50" s="9">
        <v>46069</v>
      </c>
      <c r="B50">
        <v>2</v>
      </c>
    </row>
    <row r="51" spans="1:2">
      <c r="A51" s="9">
        <v>46070</v>
      </c>
      <c r="B51">
        <v>3</v>
      </c>
    </row>
    <row r="52" spans="1:2">
      <c r="A52" s="9">
        <v>46071</v>
      </c>
      <c r="B52">
        <v>4</v>
      </c>
    </row>
    <row r="53" spans="1:2">
      <c r="A53" s="9">
        <v>46072</v>
      </c>
      <c r="B53">
        <v>7</v>
      </c>
    </row>
    <row r="54" spans="1:2">
      <c r="A54" s="9">
        <v>46073</v>
      </c>
      <c r="B54">
        <v>1</v>
      </c>
    </row>
    <row r="55" spans="1:2">
      <c r="A55" s="9">
        <v>46075</v>
      </c>
      <c r="B55">
        <v>4</v>
      </c>
    </row>
    <row r="56" spans="1:2">
      <c r="A56" s="9">
        <v>46076</v>
      </c>
      <c r="B56">
        <v>1</v>
      </c>
    </row>
    <row r="57" spans="1:2">
      <c r="A57" s="9">
        <v>46077</v>
      </c>
      <c r="B57">
        <v>2</v>
      </c>
    </row>
    <row r="58" spans="1:2">
      <c r="A58" s="9">
        <v>46078</v>
      </c>
      <c r="B58">
        <v>3</v>
      </c>
    </row>
    <row r="59" spans="1:2">
      <c r="A59" s="9">
        <v>46079</v>
      </c>
      <c r="B59">
        <v>4</v>
      </c>
    </row>
    <row r="60" spans="1:2">
      <c r="A60" s="9">
        <v>46080</v>
      </c>
      <c r="B60">
        <v>2</v>
      </c>
    </row>
    <row r="61" spans="1:2">
      <c r="A61" s="9">
        <v>46081</v>
      </c>
      <c r="B61">
        <v>5</v>
      </c>
    </row>
    <row r="62" spans="1:2">
      <c r="A62" s="3" t="s">
        <v>1270</v>
      </c>
      <c r="B62">
        <v>90</v>
      </c>
    </row>
    <row r="63" spans="1:2">
      <c r="A63" s="9">
        <v>46082</v>
      </c>
      <c r="B63">
        <v>1</v>
      </c>
    </row>
    <row r="64" spans="1:2">
      <c r="A64" s="9">
        <v>46083</v>
      </c>
      <c r="B64">
        <v>3</v>
      </c>
    </row>
    <row r="65" spans="1:2">
      <c r="A65" s="9">
        <v>46084</v>
      </c>
      <c r="B65">
        <v>1</v>
      </c>
    </row>
    <row r="66" spans="1:2">
      <c r="A66" s="9">
        <v>46085</v>
      </c>
      <c r="B66">
        <v>1</v>
      </c>
    </row>
    <row r="67" spans="1:2">
      <c r="A67" s="9">
        <v>46086</v>
      </c>
      <c r="B67">
        <v>3</v>
      </c>
    </row>
    <row r="68" spans="1:2">
      <c r="A68" s="9">
        <v>46087</v>
      </c>
      <c r="B68">
        <v>5</v>
      </c>
    </row>
    <row r="69" spans="1:2">
      <c r="A69" s="9">
        <v>46088</v>
      </c>
      <c r="B69">
        <v>3</v>
      </c>
    </row>
    <row r="70" spans="1:2">
      <c r="A70" s="9">
        <v>46089</v>
      </c>
      <c r="B70">
        <v>4</v>
      </c>
    </row>
    <row r="71" spans="1:2">
      <c r="A71" s="9">
        <v>46090</v>
      </c>
      <c r="B71">
        <v>2</v>
      </c>
    </row>
    <row r="72" spans="1:2">
      <c r="A72" s="9">
        <v>46091</v>
      </c>
      <c r="B72">
        <v>2</v>
      </c>
    </row>
    <row r="73" spans="1:2">
      <c r="A73" s="9">
        <v>46092</v>
      </c>
      <c r="B73">
        <v>4</v>
      </c>
    </row>
    <row r="74" spans="1:2">
      <c r="A74" s="9">
        <v>46093</v>
      </c>
      <c r="B74">
        <v>4</v>
      </c>
    </row>
    <row r="75" spans="1:2">
      <c r="A75" s="9">
        <v>46094</v>
      </c>
      <c r="B75">
        <v>5</v>
      </c>
    </row>
    <row r="76" spans="1:2">
      <c r="A76" s="9">
        <v>46095</v>
      </c>
      <c r="B76">
        <v>2</v>
      </c>
    </row>
    <row r="77" spans="1:2">
      <c r="A77" s="9">
        <v>46096</v>
      </c>
      <c r="B77">
        <v>2</v>
      </c>
    </row>
    <row r="78" spans="1:2">
      <c r="A78" s="9">
        <v>46097</v>
      </c>
      <c r="B78">
        <v>3</v>
      </c>
    </row>
    <row r="79" spans="1:2">
      <c r="A79" s="9">
        <v>46098</v>
      </c>
      <c r="B79">
        <v>4</v>
      </c>
    </row>
    <row r="80" spans="1:2">
      <c r="A80" s="9">
        <v>46099</v>
      </c>
      <c r="B80">
        <v>3</v>
      </c>
    </row>
    <row r="81" spans="1:2">
      <c r="A81" s="9">
        <v>46100</v>
      </c>
      <c r="B81">
        <v>3</v>
      </c>
    </row>
    <row r="82" spans="1:2">
      <c r="A82" s="9">
        <v>46101</v>
      </c>
      <c r="B82">
        <v>3</v>
      </c>
    </row>
    <row r="83" spans="1:2">
      <c r="A83" s="9">
        <v>46102</v>
      </c>
      <c r="B83">
        <v>5</v>
      </c>
    </row>
    <row r="84" spans="1:2">
      <c r="A84" s="9">
        <v>46103</v>
      </c>
      <c r="B84">
        <v>5</v>
      </c>
    </row>
    <row r="85" spans="1:2">
      <c r="A85" s="9">
        <v>46104</v>
      </c>
      <c r="B85">
        <v>1</v>
      </c>
    </row>
    <row r="86" spans="1:2">
      <c r="A86" s="9">
        <v>46105</v>
      </c>
      <c r="B86">
        <v>2</v>
      </c>
    </row>
    <row r="87" spans="1:2">
      <c r="A87" s="9">
        <v>46106</v>
      </c>
      <c r="B87">
        <v>4</v>
      </c>
    </row>
    <row r="88" spans="1:2">
      <c r="A88" s="9">
        <v>46107</v>
      </c>
      <c r="B88">
        <v>3</v>
      </c>
    </row>
    <row r="89" spans="1:2">
      <c r="A89" s="9">
        <v>46108</v>
      </c>
      <c r="B89">
        <v>1</v>
      </c>
    </row>
    <row r="90" spans="1:2">
      <c r="A90" s="9">
        <v>46109</v>
      </c>
      <c r="B90">
        <v>1</v>
      </c>
    </row>
    <row r="91" spans="1:2">
      <c r="A91" s="9">
        <v>46110</v>
      </c>
      <c r="B91">
        <v>3</v>
      </c>
    </row>
    <row r="92" spans="1:2">
      <c r="A92" s="9">
        <v>46111</v>
      </c>
      <c r="B92">
        <v>4</v>
      </c>
    </row>
    <row r="93" spans="1:2">
      <c r="A93" s="9">
        <v>46112</v>
      </c>
      <c r="B93">
        <v>3</v>
      </c>
    </row>
    <row r="94" spans="1:2">
      <c r="A94" s="3" t="s">
        <v>1271</v>
      </c>
      <c r="B94">
        <v>74</v>
      </c>
    </row>
    <row r="95" spans="1:2">
      <c r="A95" s="9">
        <v>46113</v>
      </c>
      <c r="B95">
        <v>1</v>
      </c>
    </row>
    <row r="96" spans="1:2">
      <c r="A96" s="9">
        <v>46114</v>
      </c>
      <c r="B96">
        <v>2</v>
      </c>
    </row>
    <row r="97" spans="1:2">
      <c r="A97" s="9">
        <v>46115</v>
      </c>
      <c r="B97">
        <v>3</v>
      </c>
    </row>
    <row r="98" spans="1:2">
      <c r="A98" s="9">
        <v>46116</v>
      </c>
      <c r="B98">
        <v>3</v>
      </c>
    </row>
    <row r="99" spans="1:2">
      <c r="A99" s="9">
        <v>46117</v>
      </c>
      <c r="B99">
        <v>3</v>
      </c>
    </row>
    <row r="100" spans="1:2">
      <c r="A100" s="9">
        <v>46118</v>
      </c>
      <c r="B100">
        <v>2</v>
      </c>
    </row>
    <row r="101" spans="1:2">
      <c r="A101" s="9">
        <v>46119</v>
      </c>
      <c r="B101">
        <v>2</v>
      </c>
    </row>
    <row r="102" spans="1:2">
      <c r="A102" s="9">
        <v>46120</v>
      </c>
      <c r="B102">
        <v>2</v>
      </c>
    </row>
    <row r="103" spans="1:2">
      <c r="A103" s="9">
        <v>46121</v>
      </c>
      <c r="B103">
        <v>2</v>
      </c>
    </row>
    <row r="104" spans="1:2">
      <c r="A104" s="9">
        <v>46123</v>
      </c>
      <c r="B104">
        <v>1</v>
      </c>
    </row>
    <row r="105" spans="1:2">
      <c r="A105" s="9">
        <v>46124</v>
      </c>
      <c r="B105">
        <v>4</v>
      </c>
    </row>
    <row r="106" spans="1:2">
      <c r="A106" s="9">
        <v>46125</v>
      </c>
      <c r="B106">
        <v>2</v>
      </c>
    </row>
    <row r="107" spans="1:2">
      <c r="A107" s="9">
        <v>46126</v>
      </c>
      <c r="B107">
        <v>4</v>
      </c>
    </row>
    <row r="108" spans="1:2">
      <c r="A108" s="9">
        <v>46127</v>
      </c>
      <c r="B108">
        <v>7</v>
      </c>
    </row>
    <row r="109" spans="1:2">
      <c r="A109" s="9">
        <v>46128</v>
      </c>
      <c r="B109">
        <v>1</v>
      </c>
    </row>
    <row r="110" spans="1:2">
      <c r="A110" s="9">
        <v>46129</v>
      </c>
      <c r="B110">
        <v>4</v>
      </c>
    </row>
    <row r="111" spans="1:2">
      <c r="A111" s="9">
        <v>46130</v>
      </c>
      <c r="B111">
        <v>2</v>
      </c>
    </row>
    <row r="112" spans="1:2">
      <c r="A112" s="9">
        <v>46131</v>
      </c>
      <c r="B112">
        <v>1</v>
      </c>
    </row>
    <row r="113" spans="1:2">
      <c r="A113" s="9">
        <v>46132</v>
      </c>
      <c r="B113">
        <v>4</v>
      </c>
    </row>
    <row r="114" spans="1:2">
      <c r="A114" s="9">
        <v>46133</v>
      </c>
      <c r="B114">
        <v>5</v>
      </c>
    </row>
    <row r="115" spans="1:2">
      <c r="A115" s="9">
        <v>46134</v>
      </c>
      <c r="B115">
        <v>2</v>
      </c>
    </row>
    <row r="116" spans="1:2">
      <c r="A116" s="9">
        <v>46135</v>
      </c>
      <c r="B116">
        <v>2</v>
      </c>
    </row>
    <row r="117" spans="1:2">
      <c r="A117" s="9">
        <v>46136</v>
      </c>
      <c r="B117">
        <v>2</v>
      </c>
    </row>
    <row r="118" spans="1:2">
      <c r="A118" s="9">
        <v>46137</v>
      </c>
      <c r="B118">
        <v>2</v>
      </c>
    </row>
    <row r="119" spans="1:2">
      <c r="A119" s="9">
        <v>46138</v>
      </c>
      <c r="B119">
        <v>5</v>
      </c>
    </row>
    <row r="120" spans="1:2">
      <c r="A120" s="9">
        <v>46139</v>
      </c>
      <c r="B120">
        <v>3</v>
      </c>
    </row>
    <row r="121" spans="1:2">
      <c r="A121" s="9">
        <v>46140</v>
      </c>
      <c r="B121">
        <v>2</v>
      </c>
    </row>
    <row r="122" spans="1:2">
      <c r="A122" s="9">
        <v>46141</v>
      </c>
      <c r="B122">
        <v>1</v>
      </c>
    </row>
    <row r="123" spans="1:2">
      <c r="A123" s="3" t="s">
        <v>1272</v>
      </c>
      <c r="B123">
        <v>88</v>
      </c>
    </row>
    <row r="124" spans="1:2">
      <c r="A124" s="9">
        <v>46143</v>
      </c>
      <c r="B124">
        <v>2</v>
      </c>
    </row>
    <row r="125" spans="1:2">
      <c r="A125" s="9">
        <v>46144</v>
      </c>
      <c r="B125">
        <v>4</v>
      </c>
    </row>
    <row r="126" spans="1:2">
      <c r="A126" s="9">
        <v>46145</v>
      </c>
      <c r="B126">
        <v>1</v>
      </c>
    </row>
    <row r="127" spans="1:2">
      <c r="A127" s="9">
        <v>46146</v>
      </c>
      <c r="B127">
        <v>2</v>
      </c>
    </row>
    <row r="128" spans="1:2">
      <c r="A128" s="9">
        <v>46147</v>
      </c>
      <c r="B128">
        <v>4</v>
      </c>
    </row>
    <row r="129" spans="1:2">
      <c r="A129" s="9">
        <v>46148</v>
      </c>
      <c r="B129">
        <v>5</v>
      </c>
    </row>
    <row r="130" spans="1:2">
      <c r="A130" s="9">
        <v>46149</v>
      </c>
      <c r="B130">
        <v>1</v>
      </c>
    </row>
    <row r="131" spans="1:2">
      <c r="A131" s="9">
        <v>46150</v>
      </c>
      <c r="B131">
        <v>1</v>
      </c>
    </row>
    <row r="132" spans="1:2">
      <c r="A132" s="9">
        <v>46151</v>
      </c>
      <c r="B132">
        <v>7</v>
      </c>
    </row>
    <row r="133" spans="1:2">
      <c r="A133" s="9">
        <v>46152</v>
      </c>
      <c r="B133">
        <v>3</v>
      </c>
    </row>
    <row r="134" spans="1:2">
      <c r="A134" s="9">
        <v>46153</v>
      </c>
      <c r="B134">
        <v>2</v>
      </c>
    </row>
    <row r="135" spans="1:2">
      <c r="A135" s="9">
        <v>46154</v>
      </c>
      <c r="B135">
        <v>5</v>
      </c>
    </row>
    <row r="136" spans="1:2">
      <c r="A136" s="9">
        <v>46155</v>
      </c>
      <c r="B136">
        <v>1</v>
      </c>
    </row>
    <row r="137" spans="1:2">
      <c r="A137" s="9">
        <v>46156</v>
      </c>
      <c r="B137">
        <v>3</v>
      </c>
    </row>
    <row r="138" spans="1:2">
      <c r="A138" s="9">
        <v>46157</v>
      </c>
      <c r="B138">
        <v>2</v>
      </c>
    </row>
    <row r="139" spans="1:2">
      <c r="A139" s="9">
        <v>46158</v>
      </c>
      <c r="B139">
        <v>2</v>
      </c>
    </row>
    <row r="140" spans="1:2">
      <c r="A140" s="9">
        <v>46159</v>
      </c>
      <c r="B140">
        <v>1</v>
      </c>
    </row>
    <row r="141" spans="1:2">
      <c r="A141" s="9">
        <v>46160</v>
      </c>
      <c r="B141">
        <v>5</v>
      </c>
    </row>
    <row r="142" spans="1:2">
      <c r="A142" s="9">
        <v>46161</v>
      </c>
      <c r="B142">
        <v>2</v>
      </c>
    </row>
    <row r="143" spans="1:2">
      <c r="A143" s="9">
        <v>46162</v>
      </c>
      <c r="B143">
        <v>3</v>
      </c>
    </row>
    <row r="144" spans="1:2">
      <c r="A144" s="9">
        <v>46163</v>
      </c>
      <c r="B144">
        <v>2</v>
      </c>
    </row>
    <row r="145" spans="1:2">
      <c r="A145" s="9">
        <v>46165</v>
      </c>
      <c r="B145">
        <v>2</v>
      </c>
    </row>
    <row r="146" spans="1:2">
      <c r="A146" s="9">
        <v>46166</v>
      </c>
      <c r="B146">
        <v>1</v>
      </c>
    </row>
    <row r="147" spans="1:2">
      <c r="A147" s="9">
        <v>46167</v>
      </c>
      <c r="B147">
        <v>2</v>
      </c>
    </row>
    <row r="148" spans="1:2">
      <c r="A148" s="9">
        <v>46168</v>
      </c>
      <c r="B148">
        <v>5</v>
      </c>
    </row>
    <row r="149" spans="1:2">
      <c r="A149" s="9">
        <v>46169</v>
      </c>
      <c r="B149">
        <v>3</v>
      </c>
    </row>
    <row r="150" spans="1:2">
      <c r="A150" s="9">
        <v>46170</v>
      </c>
      <c r="B150">
        <v>3</v>
      </c>
    </row>
    <row r="151" spans="1:2">
      <c r="A151" s="9">
        <v>46171</v>
      </c>
      <c r="B151">
        <v>2</v>
      </c>
    </row>
    <row r="152" spans="1:2">
      <c r="A152" s="9">
        <v>46172</v>
      </c>
      <c r="B152">
        <v>8</v>
      </c>
    </row>
    <row r="153" spans="1:2">
      <c r="A153" s="9">
        <v>46173</v>
      </c>
      <c r="B153">
        <v>4</v>
      </c>
    </row>
    <row r="154" spans="1:2">
      <c r="A154" s="3" t="s">
        <v>1273</v>
      </c>
      <c r="B154">
        <v>90</v>
      </c>
    </row>
    <row r="155" spans="1:2">
      <c r="A155" s="9">
        <v>46174</v>
      </c>
      <c r="B155">
        <v>4</v>
      </c>
    </row>
    <row r="156" spans="1:2">
      <c r="A156" s="9">
        <v>46175</v>
      </c>
      <c r="B156">
        <v>2</v>
      </c>
    </row>
    <row r="157" spans="1:2">
      <c r="A157" s="9">
        <v>46176</v>
      </c>
      <c r="B157">
        <v>1</v>
      </c>
    </row>
    <row r="158" spans="1:2">
      <c r="A158" s="9">
        <v>46177</v>
      </c>
      <c r="B158">
        <v>2</v>
      </c>
    </row>
    <row r="159" spans="1:2">
      <c r="A159" s="9">
        <v>46178</v>
      </c>
      <c r="B159">
        <v>7</v>
      </c>
    </row>
    <row r="160" spans="1:2">
      <c r="A160" s="9">
        <v>46179</v>
      </c>
      <c r="B160">
        <v>2</v>
      </c>
    </row>
    <row r="161" spans="1:2">
      <c r="A161" s="9">
        <v>46180</v>
      </c>
      <c r="B161">
        <v>4</v>
      </c>
    </row>
    <row r="162" spans="1:2">
      <c r="A162" s="9">
        <v>46181</v>
      </c>
      <c r="B162">
        <v>2</v>
      </c>
    </row>
    <row r="163" spans="1:2">
      <c r="A163" s="9">
        <v>46182</v>
      </c>
      <c r="B163">
        <v>4</v>
      </c>
    </row>
    <row r="164" spans="1:2">
      <c r="A164" s="9">
        <v>46183</v>
      </c>
      <c r="B164">
        <v>3</v>
      </c>
    </row>
    <row r="165" spans="1:2">
      <c r="A165" s="9">
        <v>46184</v>
      </c>
      <c r="B165">
        <v>6</v>
      </c>
    </row>
    <row r="166" spans="1:2">
      <c r="A166" s="9">
        <v>46185</v>
      </c>
      <c r="B166">
        <v>1</v>
      </c>
    </row>
    <row r="167" spans="1:2">
      <c r="A167" s="9">
        <v>46186</v>
      </c>
      <c r="B167">
        <v>4</v>
      </c>
    </row>
    <row r="168" spans="1:2">
      <c r="A168" s="9">
        <v>46188</v>
      </c>
      <c r="B168">
        <v>4</v>
      </c>
    </row>
    <row r="169" spans="1:2">
      <c r="A169" s="9">
        <v>46189</v>
      </c>
      <c r="B169">
        <v>2</v>
      </c>
    </row>
    <row r="170" spans="1:2">
      <c r="A170" s="9">
        <v>46190</v>
      </c>
      <c r="B170">
        <v>5</v>
      </c>
    </row>
    <row r="171" spans="1:2">
      <c r="A171" s="9">
        <v>46191</v>
      </c>
      <c r="B171">
        <v>4</v>
      </c>
    </row>
    <row r="172" spans="1:2">
      <c r="A172" s="9">
        <v>46192</v>
      </c>
      <c r="B172">
        <v>2</v>
      </c>
    </row>
    <row r="173" spans="1:2">
      <c r="A173" s="9">
        <v>46193</v>
      </c>
      <c r="B173">
        <v>1</v>
      </c>
    </row>
    <row r="174" spans="1:2">
      <c r="A174" s="9">
        <v>46194</v>
      </c>
      <c r="B174">
        <v>4</v>
      </c>
    </row>
    <row r="175" spans="1:2">
      <c r="A175" s="9">
        <v>46195</v>
      </c>
      <c r="B175">
        <v>4</v>
      </c>
    </row>
    <row r="176" spans="1:2">
      <c r="A176" s="9">
        <v>46196</v>
      </c>
      <c r="B176">
        <v>4</v>
      </c>
    </row>
    <row r="177" spans="1:2">
      <c r="A177" s="9">
        <v>46197</v>
      </c>
      <c r="B177">
        <v>3</v>
      </c>
    </row>
    <row r="178" spans="1:2">
      <c r="A178" s="9">
        <v>46198</v>
      </c>
      <c r="B178">
        <v>2</v>
      </c>
    </row>
    <row r="179" spans="1:2">
      <c r="A179" s="9">
        <v>46199</v>
      </c>
      <c r="B179">
        <v>3</v>
      </c>
    </row>
    <row r="180" spans="1:2">
      <c r="A180" s="9">
        <v>46200</v>
      </c>
      <c r="B180">
        <v>1</v>
      </c>
    </row>
    <row r="181" spans="1:2">
      <c r="A181" s="9">
        <v>46201</v>
      </c>
      <c r="B181">
        <v>5</v>
      </c>
    </row>
    <row r="182" spans="1:2">
      <c r="A182" s="9">
        <v>46202</v>
      </c>
      <c r="B182">
        <v>2</v>
      </c>
    </row>
    <row r="183" spans="1:2">
      <c r="A183" s="9">
        <v>46203</v>
      </c>
      <c r="B183">
        <v>2</v>
      </c>
    </row>
    <row r="184" spans="1:2">
      <c r="A184" s="3" t="s">
        <v>1274</v>
      </c>
      <c r="B184">
        <v>88</v>
      </c>
    </row>
    <row r="185" spans="1:2">
      <c r="A185" s="9">
        <v>46204</v>
      </c>
      <c r="B185">
        <v>1</v>
      </c>
    </row>
    <row r="186" spans="1:2">
      <c r="A186" s="9">
        <v>46205</v>
      </c>
      <c r="B186">
        <v>4</v>
      </c>
    </row>
    <row r="187" spans="1:2">
      <c r="A187" s="9">
        <v>46206</v>
      </c>
      <c r="B187">
        <v>6</v>
      </c>
    </row>
    <row r="188" spans="1:2">
      <c r="A188" s="9">
        <v>46207</v>
      </c>
      <c r="B188">
        <v>6</v>
      </c>
    </row>
    <row r="189" spans="1:2">
      <c r="A189" s="9">
        <v>46208</v>
      </c>
      <c r="B189">
        <v>3</v>
      </c>
    </row>
    <row r="190" spans="1:2">
      <c r="A190" s="9">
        <v>46209</v>
      </c>
      <c r="B190">
        <v>3</v>
      </c>
    </row>
    <row r="191" spans="1:2">
      <c r="A191" s="9">
        <v>46210</v>
      </c>
      <c r="B191">
        <v>4</v>
      </c>
    </row>
    <row r="192" spans="1:2">
      <c r="A192" s="9">
        <v>46211</v>
      </c>
      <c r="B192">
        <v>3</v>
      </c>
    </row>
    <row r="193" spans="1:2">
      <c r="A193" s="9">
        <v>46212</v>
      </c>
      <c r="B193">
        <v>1</v>
      </c>
    </row>
    <row r="194" spans="1:2">
      <c r="A194" s="9">
        <v>46213</v>
      </c>
      <c r="B194">
        <v>8</v>
      </c>
    </row>
    <row r="195" spans="1:2">
      <c r="A195" s="9">
        <v>46214</v>
      </c>
      <c r="B195">
        <v>7</v>
      </c>
    </row>
    <row r="196" spans="1:2">
      <c r="A196" s="9">
        <v>46215</v>
      </c>
      <c r="B196">
        <v>2</v>
      </c>
    </row>
    <row r="197" spans="1:2">
      <c r="A197" s="9">
        <v>46216</v>
      </c>
      <c r="B197">
        <v>1</v>
      </c>
    </row>
    <row r="198" spans="1:2">
      <c r="A198" s="9">
        <v>46217</v>
      </c>
      <c r="B198">
        <v>3</v>
      </c>
    </row>
    <row r="199" spans="1:2">
      <c r="A199" s="9">
        <v>46218</v>
      </c>
      <c r="B199">
        <v>2</v>
      </c>
    </row>
    <row r="200" spans="1:2">
      <c r="A200" s="9">
        <v>46219</v>
      </c>
      <c r="B200">
        <v>3</v>
      </c>
    </row>
    <row r="201" spans="1:2">
      <c r="A201" s="9">
        <v>46220</v>
      </c>
      <c r="B201">
        <v>2</v>
      </c>
    </row>
    <row r="202" spans="1:2">
      <c r="A202" s="9">
        <v>46221</v>
      </c>
      <c r="B202">
        <v>1</v>
      </c>
    </row>
    <row r="203" spans="1:2">
      <c r="A203" s="9">
        <v>46222</v>
      </c>
      <c r="B203">
        <v>1</v>
      </c>
    </row>
    <row r="204" spans="1:2">
      <c r="A204" s="9">
        <v>46223</v>
      </c>
      <c r="B204">
        <v>2</v>
      </c>
    </row>
    <row r="205" spans="1:2">
      <c r="A205" s="9">
        <v>46224</v>
      </c>
      <c r="B205">
        <v>2</v>
      </c>
    </row>
    <row r="206" spans="1:2">
      <c r="A206" s="9">
        <v>46225</v>
      </c>
      <c r="B206">
        <v>1</v>
      </c>
    </row>
    <row r="207" spans="1:2">
      <c r="A207" s="9">
        <v>46226</v>
      </c>
      <c r="B207">
        <v>2</v>
      </c>
    </row>
    <row r="208" spans="1:2">
      <c r="A208" s="9">
        <v>46228</v>
      </c>
      <c r="B208">
        <v>5</v>
      </c>
    </row>
    <row r="209" spans="1:2">
      <c r="A209" s="9">
        <v>46229</v>
      </c>
      <c r="B209">
        <v>2</v>
      </c>
    </row>
    <row r="210" spans="1:2">
      <c r="A210" s="9">
        <v>46230</v>
      </c>
      <c r="B210">
        <v>2</v>
      </c>
    </row>
    <row r="211" spans="1:2">
      <c r="A211" s="9">
        <v>46231</v>
      </c>
      <c r="B211">
        <v>2</v>
      </c>
    </row>
    <row r="212" spans="1:2">
      <c r="A212" s="9">
        <v>46232</v>
      </c>
      <c r="B212">
        <v>3</v>
      </c>
    </row>
    <row r="213" spans="1:2">
      <c r="A213" s="9">
        <v>46233</v>
      </c>
      <c r="B213">
        <v>3</v>
      </c>
    </row>
    <row r="214" spans="1:2">
      <c r="A214" s="9">
        <v>46234</v>
      </c>
      <c r="B214">
        <v>3</v>
      </c>
    </row>
    <row r="215" spans="1:2">
      <c r="A215" s="3" t="s">
        <v>1275</v>
      </c>
      <c r="B215">
        <v>89</v>
      </c>
    </row>
    <row r="216" spans="1:2">
      <c r="A216" s="9">
        <v>46235</v>
      </c>
      <c r="B216">
        <v>3</v>
      </c>
    </row>
    <row r="217" spans="1:2">
      <c r="A217" s="9">
        <v>46236</v>
      </c>
      <c r="B217">
        <v>6</v>
      </c>
    </row>
    <row r="218" spans="1:2">
      <c r="A218" s="9">
        <v>46237</v>
      </c>
      <c r="B218">
        <v>4</v>
      </c>
    </row>
    <row r="219" spans="1:2">
      <c r="A219" s="9">
        <v>46238</v>
      </c>
      <c r="B219">
        <v>2</v>
      </c>
    </row>
    <row r="220" spans="1:2">
      <c r="A220" s="9">
        <v>46239</v>
      </c>
      <c r="B220">
        <v>4</v>
      </c>
    </row>
    <row r="221" spans="1:2">
      <c r="A221" s="9">
        <v>46240</v>
      </c>
      <c r="B221">
        <v>1</v>
      </c>
    </row>
    <row r="222" spans="1:2">
      <c r="A222" s="9">
        <v>46241</v>
      </c>
      <c r="B222">
        <v>3</v>
      </c>
    </row>
    <row r="223" spans="1:2">
      <c r="A223" s="9">
        <v>46242</v>
      </c>
      <c r="B223">
        <v>1</v>
      </c>
    </row>
    <row r="224" spans="1:2">
      <c r="A224" s="9">
        <v>46243</v>
      </c>
      <c r="B224">
        <v>4</v>
      </c>
    </row>
    <row r="225" spans="1:2">
      <c r="A225" s="9">
        <v>46244</v>
      </c>
      <c r="B225">
        <v>2</v>
      </c>
    </row>
    <row r="226" spans="1:2">
      <c r="A226" s="9">
        <v>46245</v>
      </c>
      <c r="B226">
        <v>7</v>
      </c>
    </row>
    <row r="227" spans="1:2">
      <c r="A227" s="9">
        <v>46246</v>
      </c>
      <c r="B227">
        <v>2</v>
      </c>
    </row>
    <row r="228" spans="1:2">
      <c r="A228" s="9">
        <v>46248</v>
      </c>
      <c r="B228">
        <v>1</v>
      </c>
    </row>
    <row r="229" spans="1:2">
      <c r="A229" s="9">
        <v>46249</v>
      </c>
      <c r="B229">
        <v>3</v>
      </c>
    </row>
    <row r="230" spans="1:2">
      <c r="A230" s="9">
        <v>46250</v>
      </c>
      <c r="B230">
        <v>8</v>
      </c>
    </row>
    <row r="231" spans="1:2">
      <c r="A231" s="9">
        <v>46251</v>
      </c>
      <c r="B231">
        <v>4</v>
      </c>
    </row>
    <row r="232" spans="1:2">
      <c r="A232" s="9">
        <v>46252</v>
      </c>
      <c r="B232">
        <v>3</v>
      </c>
    </row>
    <row r="233" spans="1:2">
      <c r="A233" s="9">
        <v>46253</v>
      </c>
      <c r="B233">
        <v>4</v>
      </c>
    </row>
    <row r="234" spans="1:2">
      <c r="A234" s="9">
        <v>46254</v>
      </c>
      <c r="B234">
        <v>1</v>
      </c>
    </row>
    <row r="235" spans="1:2">
      <c r="A235" s="9">
        <v>46255</v>
      </c>
      <c r="B235">
        <v>2</v>
      </c>
    </row>
    <row r="236" spans="1:2">
      <c r="A236" s="9">
        <v>46256</v>
      </c>
      <c r="B236">
        <v>1</v>
      </c>
    </row>
    <row r="237" spans="1:2">
      <c r="A237" s="9">
        <v>46257</v>
      </c>
      <c r="B237">
        <v>3</v>
      </c>
    </row>
    <row r="238" spans="1:2">
      <c r="A238" s="9">
        <v>46258</v>
      </c>
      <c r="B238">
        <v>2</v>
      </c>
    </row>
    <row r="239" spans="1:2">
      <c r="A239" s="9">
        <v>46259</v>
      </c>
      <c r="B239">
        <v>2</v>
      </c>
    </row>
    <row r="240" spans="1:2">
      <c r="A240" s="9">
        <v>46260</v>
      </c>
      <c r="B240">
        <v>4</v>
      </c>
    </row>
    <row r="241" spans="1:2">
      <c r="A241" s="9">
        <v>46261</v>
      </c>
      <c r="B241">
        <v>2</v>
      </c>
    </row>
    <row r="242" spans="1:2">
      <c r="A242" s="9">
        <v>46262</v>
      </c>
      <c r="B242">
        <v>3</v>
      </c>
    </row>
    <row r="243" spans="1:2">
      <c r="A243" s="9">
        <v>46263</v>
      </c>
      <c r="B243">
        <v>2</v>
      </c>
    </row>
    <row r="244" spans="1:2">
      <c r="A244" s="9">
        <v>46264</v>
      </c>
      <c r="B244">
        <v>2</v>
      </c>
    </row>
    <row r="245" spans="1:2">
      <c r="A245" s="9">
        <v>46265</v>
      </c>
      <c r="B245">
        <v>3</v>
      </c>
    </row>
    <row r="246" spans="1:2">
      <c r="A246" s="3" t="s">
        <v>1276</v>
      </c>
      <c r="B246">
        <v>98</v>
      </c>
    </row>
    <row r="247" spans="1:2">
      <c r="A247" s="9">
        <v>46266</v>
      </c>
      <c r="B247">
        <v>3</v>
      </c>
    </row>
    <row r="248" spans="1:2">
      <c r="A248" s="9">
        <v>46267</v>
      </c>
      <c r="B248">
        <v>2</v>
      </c>
    </row>
    <row r="249" spans="1:2">
      <c r="A249" s="9">
        <v>46268</v>
      </c>
      <c r="B249">
        <v>6</v>
      </c>
    </row>
    <row r="250" spans="1:2">
      <c r="A250" s="9">
        <v>46269</v>
      </c>
      <c r="B250">
        <v>3</v>
      </c>
    </row>
    <row r="251" spans="1:2">
      <c r="A251" s="9">
        <v>46270</v>
      </c>
      <c r="B251">
        <v>3</v>
      </c>
    </row>
    <row r="252" spans="1:2">
      <c r="A252" s="9">
        <v>46271</v>
      </c>
      <c r="B252">
        <v>3</v>
      </c>
    </row>
    <row r="253" spans="1:2">
      <c r="A253" s="9">
        <v>46272</v>
      </c>
      <c r="B253">
        <v>2</v>
      </c>
    </row>
    <row r="254" spans="1:2">
      <c r="A254" s="9">
        <v>46273</v>
      </c>
      <c r="B254">
        <v>3</v>
      </c>
    </row>
    <row r="255" spans="1:2">
      <c r="A255" s="9">
        <v>46275</v>
      </c>
      <c r="B255">
        <v>3</v>
      </c>
    </row>
    <row r="256" spans="1:2">
      <c r="A256" s="9">
        <v>46276</v>
      </c>
      <c r="B256">
        <v>3</v>
      </c>
    </row>
    <row r="257" spans="1:2">
      <c r="A257" s="9">
        <v>46277</v>
      </c>
      <c r="B257">
        <v>5</v>
      </c>
    </row>
    <row r="258" spans="1:2">
      <c r="A258" s="9">
        <v>46278</v>
      </c>
      <c r="B258">
        <v>1</v>
      </c>
    </row>
    <row r="259" spans="1:2">
      <c r="A259" s="9">
        <v>46279</v>
      </c>
      <c r="B259">
        <v>5</v>
      </c>
    </row>
    <row r="260" spans="1:2">
      <c r="A260" s="9">
        <v>46280</v>
      </c>
      <c r="B260">
        <v>5</v>
      </c>
    </row>
    <row r="261" spans="1:2">
      <c r="A261" s="9">
        <v>46281</v>
      </c>
      <c r="B261">
        <v>2</v>
      </c>
    </row>
    <row r="262" spans="1:2">
      <c r="A262" s="9">
        <v>46282</v>
      </c>
      <c r="B262">
        <v>7</v>
      </c>
    </row>
    <row r="263" spans="1:2">
      <c r="A263" s="9">
        <v>46283</v>
      </c>
      <c r="B263">
        <v>2</v>
      </c>
    </row>
    <row r="264" spans="1:2">
      <c r="A264" s="9">
        <v>46284</v>
      </c>
      <c r="B264">
        <v>2</v>
      </c>
    </row>
    <row r="265" spans="1:2">
      <c r="A265" s="9">
        <v>46285</v>
      </c>
      <c r="B265">
        <v>3</v>
      </c>
    </row>
    <row r="266" spans="1:2">
      <c r="A266" s="9">
        <v>46286</v>
      </c>
      <c r="B266">
        <v>2</v>
      </c>
    </row>
    <row r="267" spans="1:2">
      <c r="A267" s="9">
        <v>46287</v>
      </c>
      <c r="B267">
        <v>5</v>
      </c>
    </row>
    <row r="268" spans="1:2">
      <c r="A268" s="9">
        <v>46288</v>
      </c>
      <c r="B268">
        <v>4</v>
      </c>
    </row>
    <row r="269" spans="1:2">
      <c r="A269" s="9">
        <v>46289</v>
      </c>
      <c r="B269">
        <v>1</v>
      </c>
    </row>
    <row r="270" spans="1:2">
      <c r="A270" s="9">
        <v>46290</v>
      </c>
      <c r="B270">
        <v>2</v>
      </c>
    </row>
    <row r="271" spans="1:2">
      <c r="A271" s="9">
        <v>46291</v>
      </c>
      <c r="B271">
        <v>5</v>
      </c>
    </row>
    <row r="272" spans="1:2">
      <c r="A272" s="9">
        <v>46292</v>
      </c>
      <c r="B272">
        <v>4</v>
      </c>
    </row>
    <row r="273" spans="1:2">
      <c r="A273" s="9">
        <v>46293</v>
      </c>
      <c r="B273">
        <v>5</v>
      </c>
    </row>
    <row r="274" spans="1:2">
      <c r="A274" s="9">
        <v>46294</v>
      </c>
      <c r="B274">
        <v>3</v>
      </c>
    </row>
    <row r="275" spans="1:2">
      <c r="A275" s="9">
        <v>46295</v>
      </c>
      <c r="B275">
        <v>4</v>
      </c>
    </row>
    <row r="276" spans="1:2">
      <c r="A276" s="3" t="s">
        <v>1264</v>
      </c>
      <c r="B276">
        <v>800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88CF-E15A-4311-90C9-1D23321FA2BD}">
  <dimension ref="A3:B276"/>
  <sheetViews>
    <sheetView workbookViewId="0">
      <selection activeCell="I7" sqref="I7"/>
    </sheetView>
  </sheetViews>
  <sheetFormatPr defaultRowHeight="18"/>
  <cols>
    <col min="1" max="1" width="14.4140625" bestFit="1" customWidth="1"/>
    <col min="2" max="2" width="15.08203125" bestFit="1" customWidth="1"/>
  </cols>
  <sheetData>
    <row r="3" spans="1:2">
      <c r="A3" s="2" t="s">
        <v>1263</v>
      </c>
      <c r="B3" t="s">
        <v>1267</v>
      </c>
    </row>
    <row r="4" spans="1:2">
      <c r="A4" s="3" t="s">
        <v>1268</v>
      </c>
      <c r="B4">
        <v>9640.4716981132078</v>
      </c>
    </row>
    <row r="5" spans="1:2">
      <c r="A5" s="9">
        <v>46023</v>
      </c>
      <c r="B5">
        <v>10578.333333333334</v>
      </c>
    </row>
    <row r="6" spans="1:2">
      <c r="A6" s="9">
        <v>46024</v>
      </c>
      <c r="B6">
        <v>10109.166666666666</v>
      </c>
    </row>
    <row r="7" spans="1:2">
      <c r="A7" s="9">
        <v>46025</v>
      </c>
      <c r="B7">
        <v>7942.8571428571431</v>
      </c>
    </row>
    <row r="8" spans="1:2">
      <c r="A8" s="9">
        <v>46026</v>
      </c>
      <c r="B8">
        <v>12028</v>
      </c>
    </row>
    <row r="9" spans="1:2">
      <c r="A9" s="9">
        <v>46028</v>
      </c>
      <c r="B9">
        <v>9000</v>
      </c>
    </row>
    <row r="10" spans="1:2">
      <c r="A10" s="9">
        <v>46029</v>
      </c>
      <c r="B10">
        <v>9450</v>
      </c>
    </row>
    <row r="11" spans="1:2">
      <c r="A11" s="9">
        <v>46030</v>
      </c>
      <c r="B11">
        <v>12030.833333333334</v>
      </c>
    </row>
    <row r="12" spans="1:2">
      <c r="A12" s="9">
        <v>46031</v>
      </c>
      <c r="B12">
        <v>11890</v>
      </c>
    </row>
    <row r="13" spans="1:2">
      <c r="A13" s="9">
        <v>46032</v>
      </c>
      <c r="B13">
        <v>11400</v>
      </c>
    </row>
    <row r="14" spans="1:2">
      <c r="A14" s="9">
        <v>46033</v>
      </c>
      <c r="B14">
        <v>4708</v>
      </c>
    </row>
    <row r="15" spans="1:2">
      <c r="A15" s="9">
        <v>46034</v>
      </c>
      <c r="B15">
        <v>7830</v>
      </c>
    </row>
    <row r="16" spans="1:2">
      <c r="A16" s="9">
        <v>46035</v>
      </c>
      <c r="B16">
        <v>11196.666666666666</v>
      </c>
    </row>
    <row r="17" spans="1:2">
      <c r="A17" s="9">
        <v>46036</v>
      </c>
      <c r="B17">
        <v>7082.5</v>
      </c>
    </row>
    <row r="18" spans="1:2">
      <c r="A18" s="9">
        <v>46037</v>
      </c>
      <c r="B18">
        <v>3681.6666666666665</v>
      </c>
    </row>
    <row r="19" spans="1:2">
      <c r="A19" s="9">
        <v>46038</v>
      </c>
      <c r="B19">
        <v>6320</v>
      </c>
    </row>
    <row r="20" spans="1:2">
      <c r="A20" s="9">
        <v>46039</v>
      </c>
      <c r="B20">
        <v>5050</v>
      </c>
    </row>
    <row r="21" spans="1:2">
      <c r="A21" s="9">
        <v>46040</v>
      </c>
      <c r="B21">
        <v>14280</v>
      </c>
    </row>
    <row r="22" spans="1:2">
      <c r="A22" s="9">
        <v>46041</v>
      </c>
      <c r="B22">
        <v>13362.5</v>
      </c>
    </row>
    <row r="23" spans="1:2">
      <c r="A23" s="9">
        <v>46042</v>
      </c>
      <c r="B23">
        <v>14570</v>
      </c>
    </row>
    <row r="24" spans="1:2">
      <c r="A24" s="9">
        <v>46043</v>
      </c>
      <c r="B24">
        <v>3850</v>
      </c>
    </row>
    <row r="25" spans="1:2">
      <c r="A25" s="9">
        <v>46044</v>
      </c>
      <c r="B25">
        <v>11960</v>
      </c>
    </row>
    <row r="26" spans="1:2">
      <c r="A26" s="9">
        <v>46045</v>
      </c>
      <c r="B26">
        <v>7460</v>
      </c>
    </row>
    <row r="27" spans="1:2">
      <c r="A27" s="9">
        <v>46046</v>
      </c>
      <c r="B27">
        <v>9860</v>
      </c>
    </row>
    <row r="28" spans="1:2">
      <c r="A28" s="9">
        <v>46047</v>
      </c>
      <c r="B28">
        <v>9000</v>
      </c>
    </row>
    <row r="29" spans="1:2">
      <c r="A29" s="9">
        <v>46048</v>
      </c>
      <c r="B29">
        <v>6152.5</v>
      </c>
    </row>
    <row r="30" spans="1:2">
      <c r="A30" s="9">
        <v>46049</v>
      </c>
      <c r="B30">
        <v>8290</v>
      </c>
    </row>
    <row r="31" spans="1:2">
      <c r="A31" s="9">
        <v>46050</v>
      </c>
      <c r="B31">
        <v>8615</v>
      </c>
    </row>
    <row r="32" spans="1:2">
      <c r="A32" s="9">
        <v>46051</v>
      </c>
      <c r="B32">
        <v>17165</v>
      </c>
    </row>
    <row r="33" spans="1:2">
      <c r="A33" s="9">
        <v>46052</v>
      </c>
      <c r="B33">
        <v>9897.5</v>
      </c>
    </row>
    <row r="34" spans="1:2">
      <c r="A34" s="9">
        <v>46053</v>
      </c>
      <c r="B34">
        <v>8280</v>
      </c>
    </row>
    <row r="35" spans="1:2">
      <c r="A35" s="3" t="s">
        <v>1269</v>
      </c>
      <c r="B35">
        <v>9814.1558441558445</v>
      </c>
    </row>
    <row r="36" spans="1:2">
      <c r="A36" s="9">
        <v>46054</v>
      </c>
      <c r="B36">
        <v>9210</v>
      </c>
    </row>
    <row r="37" spans="1:2">
      <c r="A37" s="9">
        <v>46055</v>
      </c>
      <c r="B37">
        <v>7200</v>
      </c>
    </row>
    <row r="38" spans="1:2">
      <c r="A38" s="9">
        <v>46056</v>
      </c>
      <c r="B38">
        <v>13338.333333333334</v>
      </c>
    </row>
    <row r="39" spans="1:2">
      <c r="A39" s="9">
        <v>46057</v>
      </c>
      <c r="B39">
        <v>15523.333333333334</v>
      </c>
    </row>
    <row r="40" spans="1:2">
      <c r="A40" s="9">
        <v>46058</v>
      </c>
      <c r="B40">
        <v>5553.333333333333</v>
      </c>
    </row>
    <row r="41" spans="1:2">
      <c r="A41" s="9">
        <v>46059</v>
      </c>
      <c r="B41">
        <v>3200</v>
      </c>
    </row>
    <row r="42" spans="1:2">
      <c r="A42" s="9">
        <v>46060</v>
      </c>
      <c r="B42">
        <v>10960</v>
      </c>
    </row>
    <row r="43" spans="1:2">
      <c r="A43" s="9">
        <v>46061</v>
      </c>
      <c r="B43">
        <v>6305</v>
      </c>
    </row>
    <row r="44" spans="1:2">
      <c r="A44" s="9">
        <v>46062</v>
      </c>
      <c r="B44">
        <v>20458.75</v>
      </c>
    </row>
    <row r="45" spans="1:2">
      <c r="A45" s="9">
        <v>46063</v>
      </c>
      <c r="B45">
        <v>14005</v>
      </c>
    </row>
    <row r="46" spans="1:2">
      <c r="A46" s="9">
        <v>46064</v>
      </c>
      <c r="B46">
        <v>8920</v>
      </c>
    </row>
    <row r="47" spans="1:2">
      <c r="A47" s="9">
        <v>46065</v>
      </c>
      <c r="B47">
        <v>10513.333333333334</v>
      </c>
    </row>
    <row r="48" spans="1:2">
      <c r="A48" s="9">
        <v>46066</v>
      </c>
      <c r="B48">
        <v>4800</v>
      </c>
    </row>
    <row r="49" spans="1:2">
      <c r="A49" s="9">
        <v>46068</v>
      </c>
      <c r="B49">
        <v>10443.333333333334</v>
      </c>
    </row>
    <row r="50" spans="1:2">
      <c r="A50" s="9">
        <v>46069</v>
      </c>
      <c r="B50">
        <v>16410</v>
      </c>
    </row>
    <row r="51" spans="1:2">
      <c r="A51" s="9">
        <v>46070</v>
      </c>
      <c r="B51">
        <v>6138.333333333333</v>
      </c>
    </row>
    <row r="52" spans="1:2">
      <c r="A52" s="9">
        <v>46071</v>
      </c>
      <c r="B52">
        <v>4656.25</v>
      </c>
    </row>
    <row r="53" spans="1:2">
      <c r="A53" s="9">
        <v>46072</v>
      </c>
      <c r="B53">
        <v>12175</v>
      </c>
    </row>
    <row r="54" spans="1:2">
      <c r="A54" s="9">
        <v>46073</v>
      </c>
      <c r="B54">
        <v>4275</v>
      </c>
    </row>
    <row r="55" spans="1:2">
      <c r="A55" s="9">
        <v>46075</v>
      </c>
      <c r="B55">
        <v>7258.75</v>
      </c>
    </row>
    <row r="56" spans="1:2">
      <c r="A56" s="9">
        <v>46076</v>
      </c>
      <c r="B56">
        <v>23000</v>
      </c>
    </row>
    <row r="57" spans="1:2">
      <c r="A57" s="9">
        <v>46077</v>
      </c>
      <c r="B57">
        <v>2800</v>
      </c>
    </row>
    <row r="58" spans="1:2">
      <c r="A58" s="9">
        <v>46078</v>
      </c>
      <c r="B58">
        <v>8100</v>
      </c>
    </row>
    <row r="59" spans="1:2">
      <c r="A59" s="9">
        <v>46079</v>
      </c>
      <c r="B59">
        <v>5550</v>
      </c>
    </row>
    <row r="60" spans="1:2">
      <c r="A60" s="9">
        <v>46080</v>
      </c>
      <c r="B60">
        <v>9060</v>
      </c>
    </row>
    <row r="61" spans="1:2">
      <c r="A61" s="9">
        <v>46081</v>
      </c>
      <c r="B61">
        <v>7144</v>
      </c>
    </row>
    <row r="62" spans="1:2">
      <c r="A62" s="3" t="s">
        <v>1270</v>
      </c>
      <c r="B62">
        <v>9219.5555555555547</v>
      </c>
    </row>
    <row r="63" spans="1:2">
      <c r="A63" s="9">
        <v>46082</v>
      </c>
      <c r="B63">
        <v>22320</v>
      </c>
    </row>
    <row r="64" spans="1:2">
      <c r="A64" s="9">
        <v>46083</v>
      </c>
      <c r="B64">
        <v>6130</v>
      </c>
    </row>
    <row r="65" spans="1:2">
      <c r="A65" s="9">
        <v>46084</v>
      </c>
      <c r="B65">
        <v>22420</v>
      </c>
    </row>
    <row r="66" spans="1:2">
      <c r="A66" s="9">
        <v>46085</v>
      </c>
      <c r="B66">
        <v>3040</v>
      </c>
    </row>
    <row r="67" spans="1:2">
      <c r="A67" s="9">
        <v>46086</v>
      </c>
      <c r="B67">
        <v>13273.333333333334</v>
      </c>
    </row>
    <row r="68" spans="1:2">
      <c r="A68" s="9">
        <v>46087</v>
      </c>
      <c r="B68">
        <v>9784</v>
      </c>
    </row>
    <row r="69" spans="1:2">
      <c r="A69" s="9">
        <v>46088</v>
      </c>
      <c r="B69">
        <v>16026.666666666666</v>
      </c>
    </row>
    <row r="70" spans="1:2">
      <c r="A70" s="9">
        <v>46089</v>
      </c>
      <c r="B70">
        <v>12047.5</v>
      </c>
    </row>
    <row r="71" spans="1:2">
      <c r="A71" s="9">
        <v>46090</v>
      </c>
      <c r="B71">
        <v>10690</v>
      </c>
    </row>
    <row r="72" spans="1:2">
      <c r="A72" s="9">
        <v>46091</v>
      </c>
      <c r="B72">
        <v>6987.5</v>
      </c>
    </row>
    <row r="73" spans="1:2">
      <c r="A73" s="9">
        <v>46092</v>
      </c>
      <c r="B73">
        <v>3870</v>
      </c>
    </row>
    <row r="74" spans="1:2">
      <c r="A74" s="9">
        <v>46093</v>
      </c>
      <c r="B74">
        <v>7462.5</v>
      </c>
    </row>
    <row r="75" spans="1:2">
      <c r="A75" s="9">
        <v>46094</v>
      </c>
      <c r="B75">
        <v>7552</v>
      </c>
    </row>
    <row r="76" spans="1:2">
      <c r="A76" s="9">
        <v>46095</v>
      </c>
      <c r="B76">
        <v>6550</v>
      </c>
    </row>
    <row r="77" spans="1:2">
      <c r="A77" s="9">
        <v>46096</v>
      </c>
      <c r="B77">
        <v>12700</v>
      </c>
    </row>
    <row r="78" spans="1:2">
      <c r="A78" s="9">
        <v>46097</v>
      </c>
      <c r="B78">
        <v>7360</v>
      </c>
    </row>
    <row r="79" spans="1:2">
      <c r="A79" s="9">
        <v>46098</v>
      </c>
      <c r="B79">
        <v>8881.25</v>
      </c>
    </row>
    <row r="80" spans="1:2">
      <c r="A80" s="9">
        <v>46099</v>
      </c>
      <c r="B80">
        <v>10720</v>
      </c>
    </row>
    <row r="81" spans="1:2">
      <c r="A81" s="9">
        <v>46100</v>
      </c>
      <c r="B81">
        <v>9360</v>
      </c>
    </row>
    <row r="82" spans="1:2">
      <c r="A82" s="9">
        <v>46101</v>
      </c>
      <c r="B82">
        <v>9900</v>
      </c>
    </row>
    <row r="83" spans="1:2">
      <c r="A83" s="9">
        <v>46102</v>
      </c>
      <c r="B83">
        <v>7640</v>
      </c>
    </row>
    <row r="84" spans="1:2">
      <c r="A84" s="9">
        <v>46103</v>
      </c>
      <c r="B84">
        <v>8853</v>
      </c>
    </row>
    <row r="85" spans="1:2">
      <c r="A85" s="9">
        <v>46104</v>
      </c>
      <c r="B85">
        <v>2880</v>
      </c>
    </row>
    <row r="86" spans="1:2">
      <c r="A86" s="9">
        <v>46105</v>
      </c>
      <c r="B86">
        <v>10720</v>
      </c>
    </row>
    <row r="87" spans="1:2">
      <c r="A87" s="9">
        <v>46106</v>
      </c>
      <c r="B87">
        <v>9165</v>
      </c>
    </row>
    <row r="88" spans="1:2">
      <c r="A88" s="9">
        <v>46107</v>
      </c>
      <c r="B88">
        <v>15973.333333333334</v>
      </c>
    </row>
    <row r="89" spans="1:2">
      <c r="A89" s="9">
        <v>46108</v>
      </c>
      <c r="B89">
        <v>7600</v>
      </c>
    </row>
    <row r="90" spans="1:2">
      <c r="A90" s="9">
        <v>46109</v>
      </c>
      <c r="B90">
        <v>8100</v>
      </c>
    </row>
    <row r="91" spans="1:2">
      <c r="A91" s="9">
        <v>46110</v>
      </c>
      <c r="B91">
        <v>6908.333333333333</v>
      </c>
    </row>
    <row r="92" spans="1:2">
      <c r="A92" s="9">
        <v>46111</v>
      </c>
      <c r="B92">
        <v>4825</v>
      </c>
    </row>
    <row r="93" spans="1:2">
      <c r="A93" s="9">
        <v>46112</v>
      </c>
      <c r="B93">
        <v>9000</v>
      </c>
    </row>
    <row r="94" spans="1:2">
      <c r="A94" s="3" t="s">
        <v>1271</v>
      </c>
      <c r="B94">
        <v>10800.202702702703</v>
      </c>
    </row>
    <row r="95" spans="1:2">
      <c r="A95" s="9">
        <v>46113</v>
      </c>
      <c r="B95">
        <v>17000</v>
      </c>
    </row>
    <row r="96" spans="1:2">
      <c r="A96" s="9">
        <v>46114</v>
      </c>
      <c r="B96">
        <v>9940</v>
      </c>
    </row>
    <row r="97" spans="1:2">
      <c r="A97" s="9">
        <v>46115</v>
      </c>
      <c r="B97">
        <v>11106.666666666666</v>
      </c>
    </row>
    <row r="98" spans="1:2">
      <c r="A98" s="9">
        <v>46116</v>
      </c>
      <c r="B98">
        <v>15373.333333333334</v>
      </c>
    </row>
    <row r="99" spans="1:2">
      <c r="A99" s="9">
        <v>46117</v>
      </c>
      <c r="B99">
        <v>6333.333333333333</v>
      </c>
    </row>
    <row r="100" spans="1:2">
      <c r="A100" s="9">
        <v>46118</v>
      </c>
      <c r="B100">
        <v>6755</v>
      </c>
    </row>
    <row r="101" spans="1:2">
      <c r="A101" s="9">
        <v>46119</v>
      </c>
      <c r="B101">
        <v>3680</v>
      </c>
    </row>
    <row r="102" spans="1:2">
      <c r="A102" s="9">
        <v>46120</v>
      </c>
      <c r="B102">
        <v>8130</v>
      </c>
    </row>
    <row r="103" spans="1:2">
      <c r="A103" s="9">
        <v>46121</v>
      </c>
      <c r="B103">
        <v>4132.5</v>
      </c>
    </row>
    <row r="104" spans="1:2">
      <c r="A104" s="9">
        <v>46123</v>
      </c>
      <c r="B104">
        <v>9310</v>
      </c>
    </row>
    <row r="105" spans="1:2">
      <c r="A105" s="9">
        <v>46124</v>
      </c>
      <c r="B105">
        <v>17001.25</v>
      </c>
    </row>
    <row r="106" spans="1:2">
      <c r="A106" s="9">
        <v>46125</v>
      </c>
      <c r="B106">
        <v>25792.5</v>
      </c>
    </row>
    <row r="107" spans="1:2">
      <c r="A107" s="9">
        <v>46126</v>
      </c>
      <c r="B107">
        <v>9310</v>
      </c>
    </row>
    <row r="108" spans="1:2">
      <c r="A108" s="9">
        <v>46127</v>
      </c>
      <c r="B108">
        <v>7573.5714285714284</v>
      </c>
    </row>
    <row r="109" spans="1:2">
      <c r="A109" s="9">
        <v>46128</v>
      </c>
      <c r="B109">
        <v>6080</v>
      </c>
    </row>
    <row r="110" spans="1:2">
      <c r="A110" s="9">
        <v>46129</v>
      </c>
      <c r="B110">
        <v>19475</v>
      </c>
    </row>
    <row r="111" spans="1:2">
      <c r="A111" s="9">
        <v>46130</v>
      </c>
      <c r="B111">
        <v>13615</v>
      </c>
    </row>
    <row r="112" spans="1:2">
      <c r="A112" s="9">
        <v>46131</v>
      </c>
      <c r="B112">
        <v>13770</v>
      </c>
    </row>
    <row r="113" spans="1:2">
      <c r="A113" s="9">
        <v>46132</v>
      </c>
      <c r="B113">
        <v>6003.75</v>
      </c>
    </row>
    <row r="114" spans="1:2">
      <c r="A114" s="9">
        <v>46133</v>
      </c>
      <c r="B114">
        <v>11428</v>
      </c>
    </row>
    <row r="115" spans="1:2">
      <c r="A115" s="9">
        <v>46134</v>
      </c>
      <c r="B115">
        <v>10200</v>
      </c>
    </row>
    <row r="116" spans="1:2">
      <c r="A116" s="9">
        <v>46135</v>
      </c>
      <c r="B116">
        <v>7620</v>
      </c>
    </row>
    <row r="117" spans="1:2">
      <c r="A117" s="9">
        <v>46136</v>
      </c>
      <c r="B117">
        <v>8950</v>
      </c>
    </row>
    <row r="118" spans="1:2">
      <c r="A118" s="9">
        <v>46137</v>
      </c>
      <c r="B118">
        <v>4972.5</v>
      </c>
    </row>
    <row r="119" spans="1:2">
      <c r="A119" s="9">
        <v>46138</v>
      </c>
      <c r="B119">
        <v>12829</v>
      </c>
    </row>
    <row r="120" spans="1:2">
      <c r="A120" s="9">
        <v>46139</v>
      </c>
      <c r="B120">
        <v>10113.333333333334</v>
      </c>
    </row>
    <row r="121" spans="1:2">
      <c r="A121" s="9">
        <v>46140</v>
      </c>
      <c r="B121">
        <v>8800</v>
      </c>
    </row>
    <row r="122" spans="1:2">
      <c r="A122" s="9">
        <v>46141</v>
      </c>
      <c r="B122">
        <v>17640</v>
      </c>
    </row>
    <row r="123" spans="1:2">
      <c r="A123" s="3" t="s">
        <v>1272</v>
      </c>
      <c r="B123">
        <v>10128.181818181818</v>
      </c>
    </row>
    <row r="124" spans="1:2">
      <c r="A124" s="9">
        <v>46143</v>
      </c>
      <c r="B124">
        <v>12420</v>
      </c>
    </row>
    <row r="125" spans="1:2">
      <c r="A125" s="9">
        <v>46144</v>
      </c>
      <c r="B125">
        <v>14362.5</v>
      </c>
    </row>
    <row r="126" spans="1:2">
      <c r="A126" s="9">
        <v>46145</v>
      </c>
      <c r="B126">
        <v>6840</v>
      </c>
    </row>
    <row r="127" spans="1:2">
      <c r="A127" s="9">
        <v>46146</v>
      </c>
      <c r="B127">
        <v>10925</v>
      </c>
    </row>
    <row r="128" spans="1:2">
      <c r="A128" s="9">
        <v>46147</v>
      </c>
      <c r="B128">
        <v>5332.5</v>
      </c>
    </row>
    <row r="129" spans="1:2">
      <c r="A129" s="9">
        <v>46148</v>
      </c>
      <c r="B129">
        <v>8493</v>
      </c>
    </row>
    <row r="130" spans="1:2">
      <c r="A130" s="9">
        <v>46149</v>
      </c>
      <c r="B130">
        <v>10640</v>
      </c>
    </row>
    <row r="131" spans="1:2">
      <c r="A131" s="9">
        <v>46150</v>
      </c>
      <c r="B131">
        <v>10925</v>
      </c>
    </row>
    <row r="132" spans="1:2">
      <c r="A132" s="9">
        <v>46151</v>
      </c>
      <c r="B132">
        <v>7725.7142857142853</v>
      </c>
    </row>
    <row r="133" spans="1:2">
      <c r="A133" s="9">
        <v>46152</v>
      </c>
      <c r="B133">
        <v>9713.3333333333339</v>
      </c>
    </row>
    <row r="134" spans="1:2">
      <c r="A134" s="9">
        <v>46153</v>
      </c>
      <c r="B134">
        <v>10170</v>
      </c>
    </row>
    <row r="135" spans="1:2">
      <c r="A135" s="9">
        <v>46154</v>
      </c>
      <c r="B135">
        <v>8130</v>
      </c>
    </row>
    <row r="136" spans="1:2">
      <c r="A136" s="9">
        <v>46155</v>
      </c>
      <c r="B136">
        <v>11520</v>
      </c>
    </row>
    <row r="137" spans="1:2">
      <c r="A137" s="9">
        <v>46156</v>
      </c>
      <c r="B137">
        <v>13656.666666666666</v>
      </c>
    </row>
    <row r="138" spans="1:2">
      <c r="A138" s="9">
        <v>46157</v>
      </c>
      <c r="B138">
        <v>6120</v>
      </c>
    </row>
    <row r="139" spans="1:2">
      <c r="A139" s="9">
        <v>46158</v>
      </c>
      <c r="B139">
        <v>11475</v>
      </c>
    </row>
    <row r="140" spans="1:2">
      <c r="A140" s="9">
        <v>46159</v>
      </c>
      <c r="B140">
        <v>6650</v>
      </c>
    </row>
    <row r="141" spans="1:2">
      <c r="A141" s="9">
        <v>46160</v>
      </c>
      <c r="B141">
        <v>14528</v>
      </c>
    </row>
    <row r="142" spans="1:2">
      <c r="A142" s="9">
        <v>46161</v>
      </c>
      <c r="B142">
        <v>14800</v>
      </c>
    </row>
    <row r="143" spans="1:2">
      <c r="A143" s="9">
        <v>46162</v>
      </c>
      <c r="B143">
        <v>6236.666666666667</v>
      </c>
    </row>
    <row r="144" spans="1:2">
      <c r="A144" s="9">
        <v>46163</v>
      </c>
      <c r="B144">
        <v>29660</v>
      </c>
    </row>
    <row r="145" spans="1:2">
      <c r="A145" s="9">
        <v>46165</v>
      </c>
      <c r="B145">
        <v>12520</v>
      </c>
    </row>
    <row r="146" spans="1:2">
      <c r="A146" s="9">
        <v>46166</v>
      </c>
      <c r="B146">
        <v>10030</v>
      </c>
    </row>
    <row r="147" spans="1:2">
      <c r="A147" s="9">
        <v>46167</v>
      </c>
      <c r="B147">
        <v>12400</v>
      </c>
    </row>
    <row r="148" spans="1:2">
      <c r="A148" s="9">
        <v>46168</v>
      </c>
      <c r="B148">
        <v>8028</v>
      </c>
    </row>
    <row r="149" spans="1:2">
      <c r="A149" s="9">
        <v>46169</v>
      </c>
      <c r="B149">
        <v>4640</v>
      </c>
    </row>
    <row r="150" spans="1:2">
      <c r="A150" s="9">
        <v>46170</v>
      </c>
      <c r="B150">
        <v>3613.3333333333335</v>
      </c>
    </row>
    <row r="151" spans="1:2">
      <c r="A151" s="9">
        <v>46171</v>
      </c>
      <c r="B151">
        <v>13900</v>
      </c>
    </row>
    <row r="152" spans="1:2">
      <c r="A152" s="9">
        <v>46172</v>
      </c>
      <c r="B152">
        <v>8791.25</v>
      </c>
    </row>
    <row r="153" spans="1:2">
      <c r="A153" s="9">
        <v>46173</v>
      </c>
      <c r="B153">
        <v>13307.5</v>
      </c>
    </row>
    <row r="154" spans="1:2">
      <c r="A154" s="3" t="s">
        <v>1273</v>
      </c>
      <c r="B154">
        <v>10327.777777777777</v>
      </c>
    </row>
    <row r="155" spans="1:2">
      <c r="A155" s="9">
        <v>46174</v>
      </c>
      <c r="B155">
        <v>10665</v>
      </c>
    </row>
    <row r="156" spans="1:2">
      <c r="A156" s="9">
        <v>46175</v>
      </c>
      <c r="B156">
        <v>8350</v>
      </c>
    </row>
    <row r="157" spans="1:2">
      <c r="A157" s="9">
        <v>46176</v>
      </c>
      <c r="B157">
        <v>14580</v>
      </c>
    </row>
    <row r="158" spans="1:2">
      <c r="A158" s="9">
        <v>46177</v>
      </c>
      <c r="B158">
        <v>12080</v>
      </c>
    </row>
    <row r="159" spans="1:2">
      <c r="A159" s="9">
        <v>46178</v>
      </c>
      <c r="B159">
        <v>10670</v>
      </c>
    </row>
    <row r="160" spans="1:2">
      <c r="A160" s="9">
        <v>46179</v>
      </c>
      <c r="B160">
        <v>12495</v>
      </c>
    </row>
    <row r="161" spans="1:2">
      <c r="A161" s="9">
        <v>46180</v>
      </c>
      <c r="B161">
        <v>10892.5</v>
      </c>
    </row>
    <row r="162" spans="1:2">
      <c r="A162" s="9">
        <v>46181</v>
      </c>
      <c r="B162">
        <v>12285</v>
      </c>
    </row>
    <row r="163" spans="1:2">
      <c r="A163" s="9">
        <v>46182</v>
      </c>
      <c r="B163">
        <v>11077.5</v>
      </c>
    </row>
    <row r="164" spans="1:2">
      <c r="A164" s="9">
        <v>46183</v>
      </c>
      <c r="B164">
        <v>12771.666666666666</v>
      </c>
    </row>
    <row r="165" spans="1:2">
      <c r="A165" s="9">
        <v>46184</v>
      </c>
      <c r="B165">
        <v>8980</v>
      </c>
    </row>
    <row r="166" spans="1:2">
      <c r="A166" s="9">
        <v>46185</v>
      </c>
      <c r="B166">
        <v>3570</v>
      </c>
    </row>
    <row r="167" spans="1:2">
      <c r="A167" s="9">
        <v>46186</v>
      </c>
      <c r="B167">
        <v>5932.5</v>
      </c>
    </row>
    <row r="168" spans="1:2">
      <c r="A168" s="9">
        <v>46188</v>
      </c>
      <c r="B168">
        <v>13092.5</v>
      </c>
    </row>
    <row r="169" spans="1:2">
      <c r="A169" s="9">
        <v>46189</v>
      </c>
      <c r="B169">
        <v>15500</v>
      </c>
    </row>
    <row r="170" spans="1:2">
      <c r="A170" s="9">
        <v>46190</v>
      </c>
      <c r="B170">
        <v>11462</v>
      </c>
    </row>
    <row r="171" spans="1:2">
      <c r="A171" s="9">
        <v>46191</v>
      </c>
      <c r="B171">
        <v>10052.5</v>
      </c>
    </row>
    <row r="172" spans="1:2">
      <c r="A172" s="9">
        <v>46192</v>
      </c>
      <c r="B172">
        <v>11747.5</v>
      </c>
    </row>
    <row r="173" spans="1:2">
      <c r="A173" s="9">
        <v>46193</v>
      </c>
      <c r="B173">
        <v>21660</v>
      </c>
    </row>
    <row r="174" spans="1:2">
      <c r="A174" s="9">
        <v>46194</v>
      </c>
      <c r="B174">
        <v>12398.75</v>
      </c>
    </row>
    <row r="175" spans="1:2">
      <c r="A175" s="9">
        <v>46195</v>
      </c>
      <c r="B175">
        <v>10343.75</v>
      </c>
    </row>
    <row r="176" spans="1:2">
      <c r="A176" s="9">
        <v>46196</v>
      </c>
      <c r="B176">
        <v>8968.75</v>
      </c>
    </row>
    <row r="177" spans="1:2">
      <c r="A177" s="9">
        <v>46197</v>
      </c>
      <c r="B177">
        <v>5515</v>
      </c>
    </row>
    <row r="178" spans="1:2">
      <c r="A178" s="9">
        <v>46198</v>
      </c>
      <c r="B178">
        <v>11750</v>
      </c>
    </row>
    <row r="179" spans="1:2">
      <c r="A179" s="9">
        <v>46199</v>
      </c>
      <c r="B179">
        <v>4560</v>
      </c>
    </row>
    <row r="180" spans="1:2">
      <c r="A180" s="9">
        <v>46200</v>
      </c>
      <c r="B180">
        <v>4100</v>
      </c>
    </row>
    <row r="181" spans="1:2">
      <c r="A181" s="9">
        <v>46201</v>
      </c>
      <c r="B181">
        <v>13188</v>
      </c>
    </row>
    <row r="182" spans="1:2">
      <c r="A182" s="9">
        <v>46202</v>
      </c>
      <c r="B182">
        <v>6700</v>
      </c>
    </row>
    <row r="183" spans="1:2">
      <c r="A183" s="9">
        <v>46203</v>
      </c>
      <c r="B183">
        <v>4860</v>
      </c>
    </row>
    <row r="184" spans="1:2">
      <c r="A184" s="3" t="s">
        <v>1274</v>
      </c>
      <c r="B184">
        <v>10049.602272727272</v>
      </c>
    </row>
    <row r="185" spans="1:2">
      <c r="A185" s="9">
        <v>46204</v>
      </c>
      <c r="B185">
        <v>6080</v>
      </c>
    </row>
    <row r="186" spans="1:2">
      <c r="A186" s="9">
        <v>46205</v>
      </c>
      <c r="B186">
        <v>13058.75</v>
      </c>
    </row>
    <row r="187" spans="1:2">
      <c r="A187" s="9">
        <v>46206</v>
      </c>
      <c r="B187">
        <v>6445.833333333333</v>
      </c>
    </row>
    <row r="188" spans="1:2">
      <c r="A188" s="9">
        <v>46207</v>
      </c>
      <c r="B188">
        <v>8767.5</v>
      </c>
    </row>
    <row r="189" spans="1:2">
      <c r="A189" s="9">
        <v>46208</v>
      </c>
      <c r="B189">
        <v>10038.333333333334</v>
      </c>
    </row>
    <row r="190" spans="1:2">
      <c r="A190" s="9">
        <v>46209</v>
      </c>
      <c r="B190">
        <v>11750</v>
      </c>
    </row>
    <row r="191" spans="1:2">
      <c r="A191" s="9">
        <v>46210</v>
      </c>
      <c r="B191">
        <v>13836.25</v>
      </c>
    </row>
    <row r="192" spans="1:2">
      <c r="A192" s="9">
        <v>46211</v>
      </c>
      <c r="B192">
        <v>13618.333333333334</v>
      </c>
    </row>
    <row r="193" spans="1:2">
      <c r="A193" s="9">
        <v>46212</v>
      </c>
      <c r="B193">
        <v>3325</v>
      </c>
    </row>
    <row r="194" spans="1:2">
      <c r="A194" s="9">
        <v>46213</v>
      </c>
      <c r="B194">
        <v>4510</v>
      </c>
    </row>
    <row r="195" spans="1:2">
      <c r="A195" s="9">
        <v>46214</v>
      </c>
      <c r="B195">
        <v>7883.5714285714284</v>
      </c>
    </row>
    <row r="196" spans="1:2">
      <c r="A196" s="9">
        <v>46215</v>
      </c>
      <c r="B196">
        <v>16870</v>
      </c>
    </row>
    <row r="197" spans="1:2">
      <c r="A197" s="9">
        <v>46216</v>
      </c>
      <c r="B197">
        <v>2880</v>
      </c>
    </row>
    <row r="198" spans="1:2">
      <c r="A198" s="9">
        <v>46217</v>
      </c>
      <c r="B198">
        <v>8213.3333333333339</v>
      </c>
    </row>
    <row r="199" spans="1:2">
      <c r="A199" s="9">
        <v>46218</v>
      </c>
      <c r="B199">
        <v>14190</v>
      </c>
    </row>
    <row r="200" spans="1:2">
      <c r="A200" s="9">
        <v>46219</v>
      </c>
      <c r="B200">
        <v>7721.666666666667</v>
      </c>
    </row>
    <row r="201" spans="1:2">
      <c r="A201" s="9">
        <v>46220</v>
      </c>
      <c r="B201">
        <v>7820</v>
      </c>
    </row>
    <row r="202" spans="1:2">
      <c r="A202" s="9">
        <v>46221</v>
      </c>
      <c r="B202">
        <v>2400</v>
      </c>
    </row>
    <row r="203" spans="1:2">
      <c r="A203" s="9">
        <v>46222</v>
      </c>
      <c r="B203">
        <v>3040</v>
      </c>
    </row>
    <row r="204" spans="1:2">
      <c r="A204" s="9">
        <v>46223</v>
      </c>
      <c r="B204">
        <v>15610</v>
      </c>
    </row>
    <row r="205" spans="1:2">
      <c r="A205" s="9">
        <v>46224</v>
      </c>
      <c r="B205">
        <v>13800</v>
      </c>
    </row>
    <row r="206" spans="1:2">
      <c r="A206" s="9">
        <v>46225</v>
      </c>
      <c r="B206">
        <v>15200</v>
      </c>
    </row>
    <row r="207" spans="1:2">
      <c r="A207" s="9">
        <v>46226</v>
      </c>
      <c r="B207">
        <v>15390</v>
      </c>
    </row>
    <row r="208" spans="1:2">
      <c r="A208" s="9">
        <v>46228</v>
      </c>
      <c r="B208">
        <v>9309</v>
      </c>
    </row>
    <row r="209" spans="1:2">
      <c r="A209" s="9">
        <v>46229</v>
      </c>
      <c r="B209">
        <v>7837.5</v>
      </c>
    </row>
    <row r="210" spans="1:2">
      <c r="A210" s="9">
        <v>46230</v>
      </c>
      <c r="B210">
        <v>6980</v>
      </c>
    </row>
    <row r="211" spans="1:2">
      <c r="A211" s="9">
        <v>46231</v>
      </c>
      <c r="B211">
        <v>17980</v>
      </c>
    </row>
    <row r="212" spans="1:2">
      <c r="A212" s="9">
        <v>46232</v>
      </c>
      <c r="B212">
        <v>8826.6666666666661</v>
      </c>
    </row>
    <row r="213" spans="1:2">
      <c r="A213" s="9">
        <v>46233</v>
      </c>
      <c r="B213">
        <v>9353.3333333333339</v>
      </c>
    </row>
    <row r="214" spans="1:2">
      <c r="A214" s="9">
        <v>46234</v>
      </c>
      <c r="B214">
        <v>24416.666666666668</v>
      </c>
    </row>
    <row r="215" spans="1:2">
      <c r="A215" s="3" t="s">
        <v>1275</v>
      </c>
      <c r="B215">
        <v>9772.4157303370794</v>
      </c>
    </row>
    <row r="216" spans="1:2">
      <c r="A216" s="9">
        <v>46235</v>
      </c>
      <c r="B216">
        <v>8123.333333333333</v>
      </c>
    </row>
    <row r="217" spans="1:2">
      <c r="A217" s="9">
        <v>46236</v>
      </c>
      <c r="B217">
        <v>9028.3333333333339</v>
      </c>
    </row>
    <row r="218" spans="1:2">
      <c r="A218" s="9">
        <v>46237</v>
      </c>
      <c r="B218">
        <v>8247.5</v>
      </c>
    </row>
    <row r="219" spans="1:2">
      <c r="A219" s="9">
        <v>46238</v>
      </c>
      <c r="B219">
        <v>12895</v>
      </c>
    </row>
    <row r="220" spans="1:2">
      <c r="A220" s="9">
        <v>46239</v>
      </c>
      <c r="B220">
        <v>10822.5</v>
      </c>
    </row>
    <row r="221" spans="1:2">
      <c r="A221" s="9">
        <v>46240</v>
      </c>
      <c r="B221">
        <v>25600</v>
      </c>
    </row>
    <row r="222" spans="1:2">
      <c r="A222" s="9">
        <v>46241</v>
      </c>
      <c r="B222">
        <v>6466.666666666667</v>
      </c>
    </row>
    <row r="223" spans="1:2">
      <c r="A223" s="9">
        <v>46242</v>
      </c>
      <c r="B223">
        <v>3150</v>
      </c>
    </row>
    <row r="224" spans="1:2">
      <c r="A224" s="9">
        <v>46243</v>
      </c>
      <c r="B224">
        <v>6246.25</v>
      </c>
    </row>
    <row r="225" spans="1:2">
      <c r="A225" s="9">
        <v>46244</v>
      </c>
      <c r="B225">
        <v>4950</v>
      </c>
    </row>
    <row r="226" spans="1:2">
      <c r="A226" s="9">
        <v>46245</v>
      </c>
      <c r="B226">
        <v>10382.857142857143</v>
      </c>
    </row>
    <row r="227" spans="1:2">
      <c r="A227" s="9">
        <v>46246</v>
      </c>
      <c r="B227">
        <v>8860</v>
      </c>
    </row>
    <row r="228" spans="1:2">
      <c r="A228" s="9">
        <v>46248</v>
      </c>
      <c r="B228">
        <v>5780</v>
      </c>
    </row>
    <row r="229" spans="1:2">
      <c r="A229" s="9">
        <v>46249</v>
      </c>
      <c r="B229">
        <v>10766.666666666666</v>
      </c>
    </row>
    <row r="230" spans="1:2">
      <c r="A230" s="9">
        <v>46250</v>
      </c>
      <c r="B230">
        <v>10329.375</v>
      </c>
    </row>
    <row r="231" spans="1:2">
      <c r="A231" s="9">
        <v>46251</v>
      </c>
      <c r="B231">
        <v>8660</v>
      </c>
    </row>
    <row r="232" spans="1:2">
      <c r="A232" s="9">
        <v>46252</v>
      </c>
      <c r="B232">
        <v>14493.333333333334</v>
      </c>
    </row>
    <row r="233" spans="1:2">
      <c r="A233" s="9">
        <v>46253</v>
      </c>
      <c r="B233">
        <v>5581.25</v>
      </c>
    </row>
    <row r="234" spans="1:2">
      <c r="A234" s="9">
        <v>46254</v>
      </c>
      <c r="B234">
        <v>4275</v>
      </c>
    </row>
    <row r="235" spans="1:2">
      <c r="A235" s="9">
        <v>46255</v>
      </c>
      <c r="B235">
        <v>6340</v>
      </c>
    </row>
    <row r="236" spans="1:2">
      <c r="A236" s="9">
        <v>46256</v>
      </c>
      <c r="B236">
        <v>16200</v>
      </c>
    </row>
    <row r="237" spans="1:2">
      <c r="A237" s="9">
        <v>46257</v>
      </c>
      <c r="B237">
        <v>6946.666666666667</v>
      </c>
    </row>
    <row r="238" spans="1:2">
      <c r="A238" s="9">
        <v>46258</v>
      </c>
      <c r="B238">
        <v>14400</v>
      </c>
    </row>
    <row r="239" spans="1:2">
      <c r="A239" s="9">
        <v>46259</v>
      </c>
      <c r="B239">
        <v>12760</v>
      </c>
    </row>
    <row r="240" spans="1:2">
      <c r="A240" s="9">
        <v>46260</v>
      </c>
      <c r="B240">
        <v>16630</v>
      </c>
    </row>
    <row r="241" spans="1:2">
      <c r="A241" s="9">
        <v>46261</v>
      </c>
      <c r="B241">
        <v>3595</v>
      </c>
    </row>
    <row r="242" spans="1:2">
      <c r="A242" s="9">
        <v>46262</v>
      </c>
      <c r="B242">
        <v>12090</v>
      </c>
    </row>
    <row r="243" spans="1:2">
      <c r="A243" s="9">
        <v>46263</v>
      </c>
      <c r="B243">
        <v>10162.5</v>
      </c>
    </row>
    <row r="244" spans="1:2">
      <c r="A244" s="9">
        <v>46264</v>
      </c>
      <c r="B244">
        <v>5400</v>
      </c>
    </row>
    <row r="245" spans="1:2">
      <c r="A245" s="9">
        <v>46265</v>
      </c>
      <c r="B245">
        <v>15040</v>
      </c>
    </row>
    <row r="246" spans="1:2">
      <c r="A246" s="3" t="s">
        <v>1276</v>
      </c>
      <c r="B246">
        <v>9239.4387755102034</v>
      </c>
    </row>
    <row r="247" spans="1:2">
      <c r="A247" s="9">
        <v>46266</v>
      </c>
      <c r="B247">
        <v>7880</v>
      </c>
    </row>
    <row r="248" spans="1:2">
      <c r="A248" s="9">
        <v>46267</v>
      </c>
      <c r="B248">
        <v>5265</v>
      </c>
    </row>
    <row r="249" spans="1:2">
      <c r="A249" s="9">
        <v>46268</v>
      </c>
      <c r="B249">
        <v>9803.3333333333339</v>
      </c>
    </row>
    <row r="250" spans="1:2">
      <c r="A250" s="9">
        <v>46269</v>
      </c>
      <c r="B250">
        <v>5840</v>
      </c>
    </row>
    <row r="251" spans="1:2">
      <c r="A251" s="9">
        <v>46270</v>
      </c>
      <c r="B251">
        <v>11856.666666666666</v>
      </c>
    </row>
    <row r="252" spans="1:2">
      <c r="A252" s="9">
        <v>46271</v>
      </c>
      <c r="B252">
        <v>5381.666666666667</v>
      </c>
    </row>
    <row r="253" spans="1:2">
      <c r="A253" s="9">
        <v>46272</v>
      </c>
      <c r="B253">
        <v>10250</v>
      </c>
    </row>
    <row r="254" spans="1:2">
      <c r="A254" s="9">
        <v>46273</v>
      </c>
      <c r="B254">
        <v>19976.666666666668</v>
      </c>
    </row>
    <row r="255" spans="1:2">
      <c r="A255" s="9">
        <v>46275</v>
      </c>
      <c r="B255">
        <v>5320</v>
      </c>
    </row>
    <row r="256" spans="1:2">
      <c r="A256" s="9">
        <v>46276</v>
      </c>
      <c r="B256">
        <v>7020</v>
      </c>
    </row>
    <row r="257" spans="1:2">
      <c r="A257" s="9">
        <v>46277</v>
      </c>
      <c r="B257">
        <v>4418</v>
      </c>
    </row>
    <row r="258" spans="1:2">
      <c r="A258" s="9">
        <v>46278</v>
      </c>
      <c r="B258">
        <v>24320</v>
      </c>
    </row>
    <row r="259" spans="1:2">
      <c r="A259" s="9">
        <v>46279</v>
      </c>
      <c r="B259">
        <v>6708</v>
      </c>
    </row>
    <row r="260" spans="1:2">
      <c r="A260" s="9">
        <v>46280</v>
      </c>
      <c r="B260">
        <v>8204</v>
      </c>
    </row>
    <row r="261" spans="1:2">
      <c r="A261" s="9">
        <v>46281</v>
      </c>
      <c r="B261">
        <v>9500</v>
      </c>
    </row>
    <row r="262" spans="1:2">
      <c r="A262" s="9">
        <v>46282</v>
      </c>
      <c r="B262">
        <v>8004.2857142857147</v>
      </c>
    </row>
    <row r="263" spans="1:2">
      <c r="A263" s="9">
        <v>46283</v>
      </c>
      <c r="B263">
        <v>6075</v>
      </c>
    </row>
    <row r="264" spans="1:2">
      <c r="A264" s="9">
        <v>46284</v>
      </c>
      <c r="B264">
        <v>11050</v>
      </c>
    </row>
    <row r="265" spans="1:2">
      <c r="A265" s="9">
        <v>46285</v>
      </c>
      <c r="B265">
        <v>5220</v>
      </c>
    </row>
    <row r="266" spans="1:2">
      <c r="A266" s="9">
        <v>46286</v>
      </c>
      <c r="B266">
        <v>16245</v>
      </c>
    </row>
    <row r="267" spans="1:2">
      <c r="A267" s="9">
        <v>46287</v>
      </c>
      <c r="B267">
        <v>11580</v>
      </c>
    </row>
    <row r="268" spans="1:2">
      <c r="A268" s="9">
        <v>46288</v>
      </c>
      <c r="B268">
        <v>8035</v>
      </c>
    </row>
    <row r="269" spans="1:2">
      <c r="A269" s="9">
        <v>46289</v>
      </c>
      <c r="B269">
        <v>7600</v>
      </c>
    </row>
    <row r="270" spans="1:2">
      <c r="A270" s="9">
        <v>46290</v>
      </c>
      <c r="B270">
        <v>5390</v>
      </c>
    </row>
    <row r="271" spans="1:2">
      <c r="A271" s="9">
        <v>46291</v>
      </c>
      <c r="B271">
        <v>10984</v>
      </c>
    </row>
    <row r="272" spans="1:2">
      <c r="A272" s="9">
        <v>46292</v>
      </c>
      <c r="B272">
        <v>20171.25</v>
      </c>
    </row>
    <row r="273" spans="1:2">
      <c r="A273" s="9">
        <v>46293</v>
      </c>
      <c r="B273">
        <v>10869</v>
      </c>
    </row>
    <row r="274" spans="1:2">
      <c r="A274" s="9">
        <v>46294</v>
      </c>
      <c r="B274">
        <v>5416.666666666667</v>
      </c>
    </row>
    <row r="275" spans="1:2">
      <c r="A275" s="9">
        <v>46295</v>
      </c>
      <c r="B275">
        <v>8192.5</v>
      </c>
    </row>
    <row r="276" spans="1:2">
      <c r="A276" s="3" t="s">
        <v>1264</v>
      </c>
      <c r="B276">
        <v>9858.6375000000007</v>
      </c>
    </row>
  </sheetData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E6EA-7D69-454D-8C7B-99F063E0F2EE}">
  <dimension ref="A3:B19"/>
  <sheetViews>
    <sheetView topLeftCell="A5" workbookViewId="0">
      <selection activeCell="B10" sqref="B10"/>
    </sheetView>
  </sheetViews>
  <sheetFormatPr defaultRowHeight="18"/>
  <cols>
    <col min="1" max="1" width="11.33203125" bestFit="1" customWidth="1"/>
    <col min="2" max="2" width="15.08203125" bestFit="1" customWidth="1"/>
  </cols>
  <sheetData>
    <row r="3" spans="1:2">
      <c r="A3" s="2" t="s">
        <v>1263</v>
      </c>
      <c r="B3" t="s">
        <v>1265</v>
      </c>
    </row>
    <row r="4" spans="1:2">
      <c r="A4" s="3" t="s">
        <v>61</v>
      </c>
      <c r="B4">
        <v>492415</v>
      </c>
    </row>
    <row r="5" spans="1:2">
      <c r="A5" s="3" t="s">
        <v>38</v>
      </c>
      <c r="B5">
        <v>459220</v>
      </c>
    </row>
    <row r="6" spans="1:2">
      <c r="A6" s="3" t="s">
        <v>113</v>
      </c>
      <c r="B6">
        <v>650590</v>
      </c>
    </row>
    <row r="7" spans="1:2">
      <c r="A7" s="3" t="s">
        <v>18</v>
      </c>
      <c r="B7">
        <v>423875</v>
      </c>
    </row>
    <row r="8" spans="1:2">
      <c r="A8" s="3" t="s">
        <v>72</v>
      </c>
      <c r="B8">
        <v>494650</v>
      </c>
    </row>
    <row r="9" spans="1:2">
      <c r="A9" s="3" t="s">
        <v>85</v>
      </c>
      <c r="B9">
        <v>651125</v>
      </c>
    </row>
    <row r="10" spans="1:2">
      <c r="A10" s="3" t="s">
        <v>68</v>
      </c>
      <c r="B10">
        <v>585660</v>
      </c>
    </row>
    <row r="11" spans="1:2">
      <c r="A11" s="3" t="s">
        <v>97</v>
      </c>
      <c r="B11">
        <v>467670</v>
      </c>
    </row>
    <row r="12" spans="1:2">
      <c r="A12" s="3" t="s">
        <v>30</v>
      </c>
      <c r="B12">
        <v>520405</v>
      </c>
    </row>
    <row r="13" spans="1:2">
      <c r="A13" s="3" t="s">
        <v>64</v>
      </c>
      <c r="B13">
        <v>567520</v>
      </c>
    </row>
    <row r="14" spans="1:2">
      <c r="A14" s="3" t="s">
        <v>135</v>
      </c>
      <c r="B14">
        <v>545035</v>
      </c>
    </row>
    <row r="15" spans="1:2">
      <c r="A15" s="3" t="s">
        <v>123</v>
      </c>
      <c r="B15">
        <v>557770</v>
      </c>
    </row>
    <row r="16" spans="1:2">
      <c r="A16" s="3" t="s">
        <v>35</v>
      </c>
      <c r="B16">
        <v>675675</v>
      </c>
    </row>
    <row r="17" spans="1:2">
      <c r="A17" s="3" t="s">
        <v>24</v>
      </c>
      <c r="B17">
        <v>445840</v>
      </c>
    </row>
    <row r="18" spans="1:2">
      <c r="A18" s="3" t="s">
        <v>142</v>
      </c>
      <c r="B18">
        <v>349460</v>
      </c>
    </row>
    <row r="19" spans="1:2">
      <c r="A19" s="3" t="s">
        <v>1264</v>
      </c>
      <c r="B19">
        <v>7886910</v>
      </c>
    </row>
  </sheetData>
  <phoneticPr fontId="18"/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78FA-0239-44C7-88DB-76189C755290}">
  <dimension ref="A3:B19"/>
  <sheetViews>
    <sheetView workbookViewId="0">
      <selection activeCell="E18" sqref="E18"/>
    </sheetView>
  </sheetViews>
  <sheetFormatPr defaultRowHeight="18"/>
  <cols>
    <col min="1" max="1" width="11.33203125" bestFit="1" customWidth="1"/>
    <col min="2" max="2" width="15.33203125" bestFit="1" customWidth="1"/>
  </cols>
  <sheetData>
    <row r="3" spans="1:2">
      <c r="A3" s="2" t="s">
        <v>1263</v>
      </c>
      <c r="B3" t="s">
        <v>1266</v>
      </c>
    </row>
    <row r="4" spans="1:2">
      <c r="A4" s="3" t="s">
        <v>61</v>
      </c>
      <c r="B4">
        <v>53</v>
      </c>
    </row>
    <row r="5" spans="1:2">
      <c r="A5" s="3" t="s">
        <v>38</v>
      </c>
      <c r="B5">
        <v>48</v>
      </c>
    </row>
    <row r="6" spans="1:2">
      <c r="A6" s="3" t="s">
        <v>113</v>
      </c>
      <c r="B6">
        <v>55</v>
      </c>
    </row>
    <row r="7" spans="1:2">
      <c r="A7" s="3" t="s">
        <v>18</v>
      </c>
      <c r="B7">
        <v>52</v>
      </c>
    </row>
    <row r="8" spans="1:2">
      <c r="A8" s="3" t="s">
        <v>72</v>
      </c>
      <c r="B8">
        <v>56</v>
      </c>
    </row>
    <row r="9" spans="1:2">
      <c r="A9" s="3" t="s">
        <v>85</v>
      </c>
      <c r="B9">
        <v>60</v>
      </c>
    </row>
    <row r="10" spans="1:2">
      <c r="A10" s="3" t="s">
        <v>68</v>
      </c>
      <c r="B10">
        <v>51</v>
      </c>
    </row>
    <row r="11" spans="1:2">
      <c r="A11" s="3" t="s">
        <v>97</v>
      </c>
      <c r="B11">
        <v>55</v>
      </c>
    </row>
    <row r="12" spans="1:2">
      <c r="A12" s="3" t="s">
        <v>30</v>
      </c>
      <c r="B12">
        <v>45</v>
      </c>
    </row>
    <row r="13" spans="1:2">
      <c r="A13" s="3" t="s">
        <v>64</v>
      </c>
      <c r="B13">
        <v>58</v>
      </c>
    </row>
    <row r="14" spans="1:2">
      <c r="A14" s="3" t="s">
        <v>135</v>
      </c>
      <c r="B14">
        <v>58</v>
      </c>
    </row>
    <row r="15" spans="1:2">
      <c r="A15" s="3" t="s">
        <v>123</v>
      </c>
      <c r="B15">
        <v>57</v>
      </c>
    </row>
    <row r="16" spans="1:2">
      <c r="A16" s="3" t="s">
        <v>35</v>
      </c>
      <c r="B16">
        <v>60</v>
      </c>
    </row>
    <row r="17" spans="1:2">
      <c r="A17" s="3" t="s">
        <v>24</v>
      </c>
      <c r="B17">
        <v>45</v>
      </c>
    </row>
    <row r="18" spans="1:2">
      <c r="A18" s="3" t="s">
        <v>142</v>
      </c>
      <c r="B18">
        <v>47</v>
      </c>
    </row>
    <row r="19" spans="1:2">
      <c r="A19" s="3" t="s">
        <v>1264</v>
      </c>
      <c r="B19">
        <v>800</v>
      </c>
    </row>
  </sheetData>
  <phoneticPr fontId="18"/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C27B-DF13-49CF-8BF6-A9F6F40B1DC3}">
  <dimension ref="A3:B19"/>
  <sheetViews>
    <sheetView topLeftCell="A6" workbookViewId="0">
      <selection activeCell="C22" sqref="C22"/>
    </sheetView>
  </sheetViews>
  <sheetFormatPr defaultRowHeight="18"/>
  <cols>
    <col min="1" max="1" width="11.33203125" bestFit="1" customWidth="1"/>
    <col min="2" max="2" width="15.08203125" bestFit="1" customWidth="1"/>
  </cols>
  <sheetData>
    <row r="3" spans="1:2">
      <c r="A3" s="2" t="s">
        <v>1263</v>
      </c>
      <c r="B3" t="s">
        <v>1267</v>
      </c>
    </row>
    <row r="4" spans="1:2">
      <c r="A4" s="3" t="s">
        <v>61</v>
      </c>
      <c r="B4">
        <v>9290.8490566037744</v>
      </c>
    </row>
    <row r="5" spans="1:2">
      <c r="A5" s="3" t="s">
        <v>38</v>
      </c>
      <c r="B5">
        <v>9567.0833333333339</v>
      </c>
    </row>
    <row r="6" spans="1:2">
      <c r="A6" s="3" t="s">
        <v>113</v>
      </c>
      <c r="B6">
        <v>11828.90909090909</v>
      </c>
    </row>
    <row r="7" spans="1:2">
      <c r="A7" s="3" t="s">
        <v>18</v>
      </c>
      <c r="B7">
        <v>8151.4423076923076</v>
      </c>
    </row>
    <row r="8" spans="1:2">
      <c r="A8" s="3" t="s">
        <v>72</v>
      </c>
      <c r="B8">
        <v>8833.0357142857138</v>
      </c>
    </row>
    <row r="9" spans="1:2">
      <c r="A9" s="3" t="s">
        <v>85</v>
      </c>
      <c r="B9">
        <v>10852.083333333334</v>
      </c>
    </row>
    <row r="10" spans="1:2">
      <c r="A10" s="3" t="s">
        <v>68</v>
      </c>
      <c r="B10">
        <v>11483.529411764706</v>
      </c>
    </row>
    <row r="11" spans="1:2">
      <c r="A11" s="3" t="s">
        <v>97</v>
      </c>
      <c r="B11">
        <v>8503.0909090909099</v>
      </c>
    </row>
    <row r="12" spans="1:2">
      <c r="A12" s="3" t="s">
        <v>30</v>
      </c>
      <c r="B12">
        <v>11564.555555555555</v>
      </c>
    </row>
    <row r="13" spans="1:2">
      <c r="A13" s="3" t="s">
        <v>64</v>
      </c>
      <c r="B13">
        <v>9784.8275862068967</v>
      </c>
    </row>
    <row r="14" spans="1:2">
      <c r="A14" s="3" t="s">
        <v>135</v>
      </c>
      <c r="B14">
        <v>9397.1551724137935</v>
      </c>
    </row>
    <row r="15" spans="1:2">
      <c r="A15" s="3" t="s">
        <v>123</v>
      </c>
      <c r="B15">
        <v>9785.438596491229</v>
      </c>
    </row>
    <row r="16" spans="1:2">
      <c r="A16" s="3" t="s">
        <v>35</v>
      </c>
      <c r="B16">
        <v>11261.25</v>
      </c>
    </row>
    <row r="17" spans="1:2">
      <c r="A17" s="3" t="s">
        <v>24</v>
      </c>
      <c r="B17">
        <v>9907.5555555555547</v>
      </c>
    </row>
    <row r="18" spans="1:2">
      <c r="A18" s="3" t="s">
        <v>142</v>
      </c>
      <c r="B18">
        <v>7435.3191489361698</v>
      </c>
    </row>
    <row r="19" spans="1:2">
      <c r="A19" s="3" t="s">
        <v>1264</v>
      </c>
      <c r="B19">
        <v>9858.6375000000007</v>
      </c>
    </row>
  </sheetData>
  <phoneticPr fontId="18"/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BC89-FB6B-4773-BB08-A10144BA9940}">
  <dimension ref="A2:E17"/>
  <sheetViews>
    <sheetView zoomScale="80" zoomScaleNormal="80" workbookViewId="0">
      <selection activeCell="A20" sqref="A20"/>
    </sheetView>
  </sheetViews>
  <sheetFormatPr defaultRowHeight="18"/>
  <cols>
    <col min="1" max="1" width="15.83203125" bestFit="1" customWidth="1"/>
    <col min="2" max="2" width="13" bestFit="1" customWidth="1"/>
    <col min="3" max="3" width="11.83203125" bestFit="1" customWidth="1"/>
    <col min="4" max="5" width="8.9140625" bestFit="1" customWidth="1"/>
  </cols>
  <sheetData>
    <row r="2" spans="1:5">
      <c r="A2" s="4" t="s">
        <v>1278</v>
      </c>
      <c r="B2" s="4"/>
      <c r="C2" s="4"/>
    </row>
    <row r="3" spans="1:5">
      <c r="A3" s="2" t="s">
        <v>1265</v>
      </c>
      <c r="B3" s="2" t="s">
        <v>1277</v>
      </c>
    </row>
    <row r="4" spans="1:5">
      <c r="A4" s="2" t="s">
        <v>1263</v>
      </c>
      <c r="B4" t="s">
        <v>23</v>
      </c>
      <c r="C4" t="s">
        <v>29</v>
      </c>
      <c r="D4" t="s">
        <v>17</v>
      </c>
      <c r="E4" t="s">
        <v>1264</v>
      </c>
    </row>
    <row r="5" spans="1:5">
      <c r="A5" s="3" t="s">
        <v>54</v>
      </c>
      <c r="B5">
        <v>222530</v>
      </c>
      <c r="C5">
        <v>383260</v>
      </c>
      <c r="D5">
        <v>491775</v>
      </c>
      <c r="E5">
        <v>1097565</v>
      </c>
    </row>
    <row r="6" spans="1:5">
      <c r="A6" s="3" t="s">
        <v>22</v>
      </c>
      <c r="B6">
        <v>364935</v>
      </c>
      <c r="C6">
        <v>648355</v>
      </c>
      <c r="D6">
        <v>853870</v>
      </c>
      <c r="E6">
        <v>1867160</v>
      </c>
    </row>
    <row r="7" spans="1:5">
      <c r="A7" s="3" t="s">
        <v>28</v>
      </c>
      <c r="B7">
        <v>304270</v>
      </c>
      <c r="C7">
        <v>744845</v>
      </c>
      <c r="D7">
        <v>1251545</v>
      </c>
      <c r="E7">
        <v>2300660</v>
      </c>
    </row>
    <row r="8" spans="1:5">
      <c r="A8" s="3" t="s">
        <v>15</v>
      </c>
      <c r="B8">
        <v>282390</v>
      </c>
      <c r="C8">
        <v>401060</v>
      </c>
      <c r="D8">
        <v>680930</v>
      </c>
      <c r="E8">
        <v>1364380</v>
      </c>
    </row>
    <row r="9" spans="1:5">
      <c r="A9" s="3" t="s">
        <v>47</v>
      </c>
      <c r="B9">
        <v>232955</v>
      </c>
      <c r="C9">
        <v>364330</v>
      </c>
      <c r="D9">
        <v>659860</v>
      </c>
      <c r="E9">
        <v>1257145</v>
      </c>
    </row>
    <row r="10" spans="1:5">
      <c r="A10" s="3" t="s">
        <v>1264</v>
      </c>
      <c r="B10">
        <v>1407080</v>
      </c>
      <c r="C10">
        <v>2541850</v>
      </c>
      <c r="D10">
        <v>3937980</v>
      </c>
      <c r="E10">
        <v>7886910</v>
      </c>
    </row>
    <row r="12" spans="1:5">
      <c r="A12" s="5" t="s">
        <v>1279</v>
      </c>
      <c r="B12" s="6"/>
      <c r="C12" s="6"/>
      <c r="D12" s="6"/>
    </row>
    <row r="13" spans="1:5">
      <c r="A13" s="2" t="s">
        <v>1265</v>
      </c>
      <c r="B13" s="2" t="s">
        <v>1277</v>
      </c>
    </row>
    <row r="14" spans="1:5">
      <c r="A14" s="2" t="s">
        <v>1263</v>
      </c>
      <c r="B14" t="s">
        <v>23</v>
      </c>
      <c r="C14" t="s">
        <v>29</v>
      </c>
      <c r="D14" t="s">
        <v>17</v>
      </c>
      <c r="E14" t="s">
        <v>1264</v>
      </c>
    </row>
    <row r="15" spans="1:5">
      <c r="A15" s="3" t="s">
        <v>16</v>
      </c>
      <c r="B15">
        <v>857235</v>
      </c>
      <c r="C15">
        <v>1426285</v>
      </c>
      <c r="D15">
        <v>2379135</v>
      </c>
      <c r="E15">
        <v>4662655</v>
      </c>
    </row>
    <row r="16" spans="1:5">
      <c r="A16" s="3" t="s">
        <v>34</v>
      </c>
      <c r="B16">
        <v>549845</v>
      </c>
      <c r="C16">
        <v>1115565</v>
      </c>
      <c r="D16">
        <v>1558845</v>
      </c>
      <c r="E16">
        <v>3224255</v>
      </c>
    </row>
    <row r="17" spans="1:5">
      <c r="A17" s="3" t="s">
        <v>1264</v>
      </c>
      <c r="B17">
        <v>1407080</v>
      </c>
      <c r="C17">
        <v>2541850</v>
      </c>
      <c r="D17">
        <v>3937980</v>
      </c>
      <c r="E17">
        <v>7886910</v>
      </c>
    </row>
  </sheetData>
  <phoneticPr fontId="18"/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D1A3-3D11-4D89-8E01-3FD6D5843BB4}">
  <dimension ref="A3:B9"/>
  <sheetViews>
    <sheetView workbookViewId="0">
      <selection activeCell="B7" sqref="B7"/>
    </sheetView>
  </sheetViews>
  <sheetFormatPr defaultRowHeight="18"/>
  <cols>
    <col min="1" max="1" width="15.33203125" bestFit="1" customWidth="1"/>
    <col min="2" max="2" width="15.08203125" bestFit="1" customWidth="1"/>
  </cols>
  <sheetData>
    <row r="3" spans="1:2">
      <c r="A3" s="2" t="s">
        <v>1263</v>
      </c>
      <c r="B3" t="s">
        <v>1265</v>
      </c>
    </row>
    <row r="4" spans="1:2">
      <c r="A4" s="3" t="s">
        <v>54</v>
      </c>
      <c r="B4">
        <v>1097565</v>
      </c>
    </row>
    <row r="5" spans="1:2">
      <c r="A5" s="3" t="s">
        <v>22</v>
      </c>
      <c r="B5">
        <v>1867160</v>
      </c>
    </row>
    <row r="6" spans="1:2">
      <c r="A6" s="3" t="s">
        <v>28</v>
      </c>
      <c r="B6">
        <v>2300660</v>
      </c>
    </row>
    <row r="7" spans="1:2">
      <c r="A7" s="3" t="s">
        <v>15</v>
      </c>
      <c r="B7">
        <v>1364380</v>
      </c>
    </row>
    <row r="8" spans="1:2">
      <c r="A8" s="3" t="s">
        <v>47</v>
      </c>
      <c r="B8">
        <v>1257145</v>
      </c>
    </row>
    <row r="9" spans="1:2">
      <c r="A9" s="3" t="s">
        <v>1264</v>
      </c>
      <c r="B9">
        <v>7886910</v>
      </c>
    </row>
  </sheetData>
  <phoneticPr fontId="1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29F4-A0C3-450B-BC94-82FCA1E8DCC6}">
  <dimension ref="A3:B9"/>
  <sheetViews>
    <sheetView workbookViewId="0">
      <selection activeCell="E8" sqref="E8"/>
    </sheetView>
  </sheetViews>
  <sheetFormatPr defaultRowHeight="18"/>
  <cols>
    <col min="1" max="2" width="15.33203125" bestFit="1" customWidth="1"/>
  </cols>
  <sheetData>
    <row r="3" spans="1:2">
      <c r="A3" s="2" t="s">
        <v>1263</v>
      </c>
      <c r="B3" t="s">
        <v>1266</v>
      </c>
    </row>
    <row r="4" spans="1:2">
      <c r="A4" s="3" t="s">
        <v>54</v>
      </c>
      <c r="B4">
        <v>154</v>
      </c>
    </row>
    <row r="5" spans="1:2">
      <c r="A5" s="3" t="s">
        <v>22</v>
      </c>
      <c r="B5">
        <v>159</v>
      </c>
    </row>
    <row r="6" spans="1:2">
      <c r="A6" s="3" t="s">
        <v>28</v>
      </c>
      <c r="B6">
        <v>207</v>
      </c>
    </row>
    <row r="7" spans="1:2">
      <c r="A7" s="3" t="s">
        <v>15</v>
      </c>
      <c r="B7">
        <v>154</v>
      </c>
    </row>
    <row r="8" spans="1:2">
      <c r="A8" s="3" t="s">
        <v>47</v>
      </c>
      <c r="B8">
        <v>126</v>
      </c>
    </row>
    <row r="9" spans="1:2">
      <c r="A9" s="3" t="s">
        <v>1264</v>
      </c>
      <c r="B9">
        <v>800</v>
      </c>
    </row>
  </sheetData>
  <phoneticPr fontId="18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CCCA-F6D6-4BAE-AA11-0616FC18B8B6}">
  <dimension ref="A3:B9"/>
  <sheetViews>
    <sheetView workbookViewId="0">
      <selection activeCell="B6" sqref="B6"/>
    </sheetView>
  </sheetViews>
  <sheetFormatPr defaultRowHeight="18"/>
  <cols>
    <col min="1" max="1" width="15.33203125" bestFit="1" customWidth="1"/>
    <col min="2" max="2" width="15.08203125" bestFit="1" customWidth="1"/>
  </cols>
  <sheetData>
    <row r="3" spans="1:2">
      <c r="A3" s="2" t="s">
        <v>1263</v>
      </c>
      <c r="B3" t="s">
        <v>1267</v>
      </c>
    </row>
    <row r="4" spans="1:2">
      <c r="A4" s="3" t="s">
        <v>54</v>
      </c>
      <c r="B4">
        <v>7127.045454545455</v>
      </c>
    </row>
    <row r="5" spans="1:2">
      <c r="A5" s="3" t="s">
        <v>22</v>
      </c>
      <c r="B5">
        <v>11743.14465408805</v>
      </c>
    </row>
    <row r="6" spans="1:2">
      <c r="A6" s="3" t="s">
        <v>28</v>
      </c>
      <c r="B6">
        <v>11114.299516908213</v>
      </c>
    </row>
    <row r="7" spans="1:2">
      <c r="A7" s="3" t="s">
        <v>15</v>
      </c>
      <c r="B7">
        <v>8859.6103896103905</v>
      </c>
    </row>
    <row r="8" spans="1:2">
      <c r="A8" s="3" t="s">
        <v>47</v>
      </c>
      <c r="B8">
        <v>9977.3412698412703</v>
      </c>
    </row>
    <row r="9" spans="1:2">
      <c r="A9" s="3" t="s">
        <v>1264</v>
      </c>
      <c r="B9">
        <v>9858.6375000000007</v>
      </c>
    </row>
  </sheetData>
  <phoneticPr fontId="18"/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A9D0-DEF2-4E02-9AD4-1945F7905F17}">
  <dimension ref="A3:B6"/>
  <sheetViews>
    <sheetView workbookViewId="0">
      <selection activeCell="B4" sqref="B4"/>
    </sheetView>
  </sheetViews>
  <sheetFormatPr defaultRowHeight="18"/>
  <cols>
    <col min="1" max="1" width="10.75" bestFit="1" customWidth="1"/>
    <col min="2" max="2" width="15.08203125" bestFit="1" customWidth="1"/>
  </cols>
  <sheetData>
    <row r="3" spans="1:2">
      <c r="A3" s="2" t="s">
        <v>1263</v>
      </c>
      <c r="B3" t="s">
        <v>1265</v>
      </c>
    </row>
    <row r="4" spans="1:2">
      <c r="A4" s="3" t="s">
        <v>16</v>
      </c>
      <c r="B4">
        <v>4662655</v>
      </c>
    </row>
    <row r="5" spans="1:2">
      <c r="A5" s="3" t="s">
        <v>34</v>
      </c>
      <c r="B5">
        <v>3224255</v>
      </c>
    </row>
    <row r="6" spans="1:2">
      <c r="A6" s="3" t="s">
        <v>1264</v>
      </c>
      <c r="B6">
        <v>7886910</v>
      </c>
    </row>
  </sheetData>
  <phoneticPr fontId="1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77A-706A-4061-BD82-B24B618B0388}">
  <dimension ref="A3:B6"/>
  <sheetViews>
    <sheetView workbookViewId="0">
      <selection activeCell="E7" sqref="E7"/>
    </sheetView>
  </sheetViews>
  <sheetFormatPr defaultRowHeight="18"/>
  <cols>
    <col min="1" max="1" width="10.75" bestFit="1" customWidth="1"/>
    <col min="2" max="2" width="15.33203125" bestFit="1" customWidth="1"/>
  </cols>
  <sheetData>
    <row r="3" spans="1:2">
      <c r="A3" s="2" t="s">
        <v>1263</v>
      </c>
      <c r="B3" t="s">
        <v>1266</v>
      </c>
    </row>
    <row r="4" spans="1:2">
      <c r="A4" s="3" t="s">
        <v>16</v>
      </c>
      <c r="B4">
        <v>480</v>
      </c>
    </row>
    <row r="5" spans="1:2">
      <c r="A5" s="3" t="s">
        <v>34</v>
      </c>
      <c r="B5">
        <v>320</v>
      </c>
    </row>
    <row r="6" spans="1:2">
      <c r="A6" s="3" t="s">
        <v>1264</v>
      </c>
      <c r="B6">
        <v>800</v>
      </c>
    </row>
  </sheetData>
  <phoneticPr fontId="1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1EA8-DE3F-49A0-A29E-AA55C0073FCB}">
  <dimension ref="A3:B6"/>
  <sheetViews>
    <sheetView workbookViewId="0">
      <selection activeCell="H12" sqref="H12"/>
    </sheetView>
  </sheetViews>
  <sheetFormatPr defaultRowHeight="18"/>
  <cols>
    <col min="1" max="1" width="10.75" bestFit="1" customWidth="1"/>
    <col min="2" max="2" width="15.08203125" bestFit="1" customWidth="1"/>
  </cols>
  <sheetData>
    <row r="3" spans="1:2">
      <c r="A3" s="2" t="s">
        <v>1263</v>
      </c>
      <c r="B3" t="s">
        <v>1267</v>
      </c>
    </row>
    <row r="4" spans="1:2">
      <c r="A4" s="3" t="s">
        <v>16</v>
      </c>
      <c r="B4">
        <v>9713.8645833333339</v>
      </c>
    </row>
    <row r="5" spans="1:2">
      <c r="A5" s="3" t="s">
        <v>34</v>
      </c>
      <c r="B5">
        <v>10075.796875</v>
      </c>
    </row>
    <row r="6" spans="1:2">
      <c r="A6" s="3" t="s">
        <v>1264</v>
      </c>
      <c r="B6">
        <v>9858.6375000000007</v>
      </c>
    </row>
  </sheetData>
  <phoneticPr fontId="18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DC8F-D4C7-4078-A600-A419D6CDEC7E}">
  <dimension ref="A3:B7"/>
  <sheetViews>
    <sheetView workbookViewId="0">
      <selection activeCell="B5" sqref="B5"/>
    </sheetView>
  </sheetViews>
  <sheetFormatPr defaultRowHeight="18"/>
  <cols>
    <col min="1" max="1" width="11.83203125" bestFit="1" customWidth="1"/>
    <col min="2" max="2" width="15.08203125" bestFit="1" customWidth="1"/>
  </cols>
  <sheetData>
    <row r="3" spans="1:2">
      <c r="A3" s="2" t="s">
        <v>1263</v>
      </c>
      <c r="B3" t="s">
        <v>1265</v>
      </c>
    </row>
    <row r="4" spans="1:2">
      <c r="A4" s="3" t="s">
        <v>23</v>
      </c>
      <c r="B4">
        <v>1407080</v>
      </c>
    </row>
    <row r="5" spans="1:2">
      <c r="A5" s="3" t="s">
        <v>29</v>
      </c>
      <c r="B5">
        <v>2541850</v>
      </c>
    </row>
    <row r="6" spans="1:2">
      <c r="A6" s="3" t="s">
        <v>17</v>
      </c>
      <c r="B6">
        <v>3937980</v>
      </c>
    </row>
    <row r="7" spans="1:2">
      <c r="A7" s="3" t="s">
        <v>1264</v>
      </c>
      <c r="B7">
        <v>7886910</v>
      </c>
    </row>
  </sheetData>
  <phoneticPr fontId="18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46AA-E0CD-443F-A17D-6B327463B29A}">
  <dimension ref="A3:B7"/>
  <sheetViews>
    <sheetView workbookViewId="0">
      <selection activeCell="B6" sqref="B6"/>
    </sheetView>
  </sheetViews>
  <sheetFormatPr defaultRowHeight="18"/>
  <cols>
    <col min="1" max="1" width="11.83203125" bestFit="1" customWidth="1"/>
    <col min="2" max="2" width="15.33203125" bestFit="1" customWidth="1"/>
  </cols>
  <sheetData>
    <row r="3" spans="1:2">
      <c r="A3" s="2" t="s">
        <v>1263</v>
      </c>
      <c r="B3" t="s">
        <v>1266</v>
      </c>
    </row>
    <row r="4" spans="1:2">
      <c r="A4" s="3" t="s">
        <v>23</v>
      </c>
      <c r="B4">
        <v>146</v>
      </c>
    </row>
    <row r="5" spans="1:2">
      <c r="A5" s="3" t="s">
        <v>29</v>
      </c>
      <c r="B5">
        <v>259</v>
      </c>
    </row>
    <row r="6" spans="1:2">
      <c r="A6" s="3" t="s">
        <v>17</v>
      </c>
      <c r="B6">
        <v>395</v>
      </c>
    </row>
    <row r="7" spans="1:2">
      <c r="A7" s="3" t="s">
        <v>1264</v>
      </c>
      <c r="B7">
        <v>800</v>
      </c>
    </row>
  </sheetData>
  <phoneticPr fontId="18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7AA1-71AE-4DC9-991C-9E3173A08F88}">
  <dimension ref="A3:B7"/>
  <sheetViews>
    <sheetView workbookViewId="0">
      <selection activeCell="B5" sqref="B5"/>
    </sheetView>
  </sheetViews>
  <sheetFormatPr defaultRowHeight="18"/>
  <cols>
    <col min="1" max="1" width="11.83203125" bestFit="1" customWidth="1"/>
    <col min="2" max="2" width="15.08203125" bestFit="1" customWidth="1"/>
  </cols>
  <sheetData>
    <row r="3" spans="1:2">
      <c r="A3" s="2" t="s">
        <v>1263</v>
      </c>
      <c r="B3" t="s">
        <v>1267</v>
      </c>
    </row>
    <row r="4" spans="1:2">
      <c r="A4" s="3" t="s">
        <v>23</v>
      </c>
      <c r="B4">
        <v>9637.534246575342</v>
      </c>
    </row>
    <row r="5" spans="1:2">
      <c r="A5" s="3" t="s">
        <v>29</v>
      </c>
      <c r="B5">
        <v>9814.0926640926646</v>
      </c>
    </row>
    <row r="6" spans="1:2">
      <c r="A6" s="3" t="s">
        <v>17</v>
      </c>
      <c r="B6">
        <v>9969.5696202531653</v>
      </c>
    </row>
    <row r="7" spans="1:2">
      <c r="A7" s="3" t="s">
        <v>1264</v>
      </c>
      <c r="B7">
        <v>9858.6375000000007</v>
      </c>
    </row>
  </sheetData>
  <phoneticPr fontId="18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640F-C86E-49B6-92A3-C3436A925E12}">
  <dimension ref="A3:B9"/>
  <sheetViews>
    <sheetView workbookViewId="0">
      <selection activeCell="D9" sqref="D9"/>
    </sheetView>
  </sheetViews>
  <sheetFormatPr defaultRowHeight="18"/>
  <cols>
    <col min="1" max="1" width="10.75" bestFit="1" customWidth="1"/>
    <col min="2" max="2" width="15.33203125" bestFit="1" customWidth="1"/>
  </cols>
  <sheetData>
    <row r="3" spans="1:2">
      <c r="A3" s="2" t="s">
        <v>1263</v>
      </c>
      <c r="B3" t="s">
        <v>1266</v>
      </c>
    </row>
    <row r="4" spans="1:2">
      <c r="A4" s="3">
        <v>0</v>
      </c>
      <c r="B4">
        <v>204</v>
      </c>
    </row>
    <row r="5" spans="1:2">
      <c r="A5" s="3">
        <v>0.05</v>
      </c>
      <c r="B5">
        <v>211</v>
      </c>
    </row>
    <row r="6" spans="1:2">
      <c r="A6" s="3">
        <v>0.1</v>
      </c>
      <c r="B6">
        <v>237</v>
      </c>
    </row>
    <row r="7" spans="1:2">
      <c r="A7" s="3">
        <v>0.15</v>
      </c>
      <c r="B7">
        <v>102</v>
      </c>
    </row>
    <row r="8" spans="1:2">
      <c r="A8" s="3">
        <v>0.2</v>
      </c>
      <c r="B8">
        <v>46</v>
      </c>
    </row>
    <row r="9" spans="1:2">
      <c r="A9" s="3" t="s">
        <v>1264</v>
      </c>
      <c r="B9">
        <v>800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ecommerce_sales</vt:lpstr>
      <vt:lpstr>KPI </vt:lpstr>
      <vt:lpstr>Dashboard</vt:lpstr>
      <vt:lpstr>Average Revenue by Discount</vt:lpstr>
      <vt:lpstr>Monthly Revenue</vt:lpstr>
      <vt:lpstr>Monthly Order Volume</vt:lpstr>
      <vt:lpstr>Average Revenue By Month</vt:lpstr>
      <vt:lpstr>Revenue By City</vt:lpstr>
      <vt:lpstr>Order Count by City</vt:lpstr>
      <vt:lpstr>Average Revenue By City</vt:lpstr>
      <vt:lpstr>Two Dimensions</vt:lpstr>
      <vt:lpstr>Total Revenue by Category</vt:lpstr>
      <vt:lpstr>Orders by Category</vt:lpstr>
      <vt:lpstr>Average Revenue By Category</vt:lpstr>
      <vt:lpstr>Customer Behavior</vt:lpstr>
      <vt:lpstr>Order Count By Customer</vt:lpstr>
      <vt:lpstr>Average Revenue By Customer</vt:lpstr>
      <vt:lpstr>Revenue By Sales Channel</vt:lpstr>
      <vt:lpstr>Orders by Sales Channel</vt:lpstr>
      <vt:lpstr>Average Revenue By Sales Channe</vt:lpstr>
      <vt:lpstr>Order Count By Discount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Oo Hnin Pwint</cp:lastModifiedBy>
  <dcterms:created xsi:type="dcterms:W3CDTF">2026-09-30T10:23:08Z</dcterms:created>
  <dcterms:modified xsi:type="dcterms:W3CDTF">2026-09-30T13:15:24Z</dcterms:modified>
</cp:coreProperties>
</file>